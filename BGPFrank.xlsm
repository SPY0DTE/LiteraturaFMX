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.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drawings/drawing1.xml" ContentType="application/vnd.openxmlformats-officedocument.drawing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drawings/drawing2.xml" ContentType="application/vnd.openxmlformats-officedocument.drawing+xml"/>
  <Override PartName="/xl/tables/table45.xml" ContentType="application/vnd.openxmlformats-officedocument.spreadsheetml.table+xml"/>
  <Override PartName="/xl/tables/table46.xml" ContentType="application/vnd.openxmlformats-officedocument.spreadsheetml.table+xml"/>
  <Override PartName="/xl/tables/table47.xml" ContentType="application/vnd.openxmlformats-officedocument.spreadsheetml.table+xml"/>
  <Override PartName="/xl/tables/table48.xml" ContentType="application/vnd.openxmlformats-officedocument.spreadsheetml.table+xml"/>
  <Override PartName="/xl/tables/table49.xml" ContentType="application/vnd.openxmlformats-officedocument.spreadsheetml.table+xml"/>
  <Override PartName="/xl/tables/table50.xml" ContentType="application/vnd.openxmlformats-officedocument.spreadsheetml.table+xml"/>
  <Override PartName="/xl/tables/table51.xml" ContentType="application/vnd.openxmlformats-officedocument.spreadsheetml.table+xml"/>
  <Override PartName="/xl/tables/table52.xml" ContentType="application/vnd.openxmlformats-officedocument.spreadsheetml.table+xml"/>
  <Override PartName="/xl/tables/table53.xml" ContentType="application/vnd.openxmlformats-officedocument.spreadsheetml.table+xml"/>
  <Override PartName="/xl/tables/table54.xml" ContentType="application/vnd.openxmlformats-officedocument.spreadsheetml.table+xml"/>
  <Override PartName="/xl/tables/table55.xml" ContentType="application/vnd.openxmlformats-officedocument.spreadsheetml.table+xml"/>
  <Override PartName="/xl/drawings/drawing3.xml" ContentType="application/vnd.openxmlformats-officedocument.drawing+xml"/>
  <Override PartName="/xl/tables/table56.xml" ContentType="application/vnd.openxmlformats-officedocument.spreadsheetml.table+xml"/>
  <Override PartName="/xl/tables/table57.xml" ContentType="application/vnd.openxmlformats-officedocument.spreadsheetml.table+xml"/>
  <Override PartName="/xl/tables/table58.xml" ContentType="application/vnd.openxmlformats-officedocument.spreadsheetml.table+xml"/>
  <Override PartName="/xl/tables/table59.xml" ContentType="application/vnd.openxmlformats-officedocument.spreadsheetml.table+xml"/>
  <Override PartName="/xl/tables/table60.xml" ContentType="application/vnd.openxmlformats-officedocument.spreadsheetml.table+xml"/>
  <Override PartName="/xl/tables/table61.xml" ContentType="application/vnd.openxmlformats-officedocument.spreadsheetml.table+xml"/>
  <Override PartName="/xl/tables/table62.xml" ContentType="application/vnd.openxmlformats-officedocument.spreadsheetml.table+xml"/>
  <Override PartName="/xl/tables/table63.xml" ContentType="application/vnd.openxmlformats-officedocument.spreadsheetml.table+xml"/>
  <Override PartName="/xl/tables/table64.xml" ContentType="application/vnd.openxmlformats-officedocument.spreadsheetml.table+xml"/>
  <Override PartName="/xl/tables/table65.xml" ContentType="application/vnd.openxmlformats-officedocument.spreadsheetml.table+xml"/>
  <Override PartName="/xl/tables/table66.xml" ContentType="application/vnd.openxmlformats-officedocument.spreadsheetml.table+xml"/>
  <Override PartName="/xl/drawings/drawing4.xml" ContentType="application/vnd.openxmlformats-officedocument.drawing+xml"/>
  <Override PartName="/xl/tables/table67.xml" ContentType="application/vnd.openxmlformats-officedocument.spreadsheetml.table+xml"/>
  <Override PartName="/xl/tables/table68.xml" ContentType="application/vnd.openxmlformats-officedocument.spreadsheetml.table+xml"/>
  <Override PartName="/xl/tables/table69.xml" ContentType="application/vnd.openxmlformats-officedocument.spreadsheetml.table+xml"/>
  <Override PartName="/xl/tables/table70.xml" ContentType="application/vnd.openxmlformats-officedocument.spreadsheetml.table+xml"/>
  <Override PartName="/xl/tables/table71.xml" ContentType="application/vnd.openxmlformats-officedocument.spreadsheetml.table+xml"/>
  <Override PartName="/xl/tables/table72.xml" ContentType="application/vnd.openxmlformats-officedocument.spreadsheetml.table+xml"/>
  <Override PartName="/xl/tables/table73.xml" ContentType="application/vnd.openxmlformats-officedocument.spreadsheetml.table+xml"/>
  <Override PartName="/xl/tables/table74.xml" ContentType="application/vnd.openxmlformats-officedocument.spreadsheetml.table+xml"/>
  <Override PartName="/xl/tables/table75.xml" ContentType="application/vnd.openxmlformats-officedocument.spreadsheetml.table+xml"/>
  <Override PartName="/xl/tables/table76.xml" ContentType="application/vnd.openxmlformats-officedocument.spreadsheetml.table+xml"/>
  <Override PartName="/xl/tables/table77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8953a91e1d294b72" Type="http://schemas.microsoft.com/office/2006/relationships/ui/extensibility" Target="customUI/customUI.xml"/><Relationship Id="R47968f6ed1a44332" Type="http://schemas.microsoft.com/office/2007/relationships/ui/extensibility" Target="customUI/customUI14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8209" codeName="{00000000-0000-0000-0000-0000000000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finamex-my.sharepoint.com/personal/fvfentanes_finamex_com_mx/Documents/"/>
    </mc:Choice>
  </mc:AlternateContent>
  <xr:revisionPtr revIDLastSave="1711" documentId="8_{DC44CF41-2B55-4165-885E-1265C45FAC7C}" xr6:coauthVersionLast="47" xr6:coauthVersionMax="47" xr10:uidLastSave="{F3109903-BF0B-4527-90A5-1A18CA325E3B}"/>
  <bookViews>
    <workbookView xWindow="-120" yWindow="-120" windowWidth="24240" windowHeight="13020" firstSheet="9" activeTab="9" xr2:uid="{00000000-000D-0000-FFFF-FFFF00000000}"/>
  </bookViews>
  <sheets>
    <sheet name="Agosto" sheetId="1" r:id="rId1"/>
    <sheet name="Septiembre" sheetId="6" r:id="rId2"/>
    <sheet name="Hoja1" sheetId="9" r:id="rId3"/>
    <sheet name="Noviembre" sheetId="10" r:id="rId4"/>
    <sheet name="Diciembre" sheetId="11" r:id="rId5"/>
    <sheet name="Enero" sheetId="15" r:id="rId6"/>
    <sheet name="Febrero" sheetId="16" r:id="rId7"/>
    <sheet name="Marzo" sheetId="17" r:id="rId8"/>
    <sheet name="Dash" sheetId="7" r:id="rId9"/>
    <sheet name="Renta Fija" sheetId="8" r:id="rId10"/>
    <sheet name="INVESTING" sheetId="18" r:id="rId11"/>
    <sheet name="Posiciones cerradas inversiones" sheetId="20" r:id="rId12"/>
    <sheet name="Retiro" sheetId="23" r:id="rId13"/>
    <sheet name="Hoja2" sheetId="19" r:id="rId14"/>
    <sheet name="Mamá" sheetId="22" r:id="rId15"/>
    <sheet name="Evolucion del portafolio total" sheetId="13" r:id="rId16"/>
    <sheet name="VIDA" sheetId="12" r:id="rId17"/>
  </sheets>
  <definedNames>
    <definedName name="_xlnm._FilterDatabase" localSheetId="9" hidden="1">'Renta Fija'!$C$10:$L$10</definedName>
    <definedName name="_xlnm.Print_Area" localSheetId="0">Agosto!$A$1:$I$63</definedName>
    <definedName name="_xlnm.Print_Area" localSheetId="4">Septiembre!$A$1:$I$63</definedName>
    <definedName name="_xlnm.Print_Area" localSheetId="5">Septiembre!$A$1:$I$63</definedName>
    <definedName name="_xlnm.Print_Area" localSheetId="6">Septiembre!$A$1:$I$63</definedName>
    <definedName name="_xlnm.Print_Area" localSheetId="7">Septiembre!$A$1:$I$63</definedName>
    <definedName name="_xlnm.Print_Area" localSheetId="3">Septiembre!$A$1:$I$63</definedName>
    <definedName name="_xlnm.Print_Area" localSheetId="1">Septiembre!$A$1:$I$63</definedName>
    <definedName name="valuevx">42.314159</definedName>
    <definedName name="vertex42_copyright" hidden="1">"© 2008-2019 Vertex42 LLC"</definedName>
    <definedName name="vertex42_id" hidden="1">"personal-monthly-budget.xlsx"</definedName>
    <definedName name="vertex42_title" hidden="1">"Personal Monthly Budget"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2" i="8" l="1"/>
  <c r="E12" i="22"/>
  <c r="H21" i="23"/>
  <c r="C3" i="23"/>
  <c r="F21" i="23"/>
  <c r="E3" i="23"/>
  <c r="H8" i="22"/>
  <c r="H10" i="22"/>
  <c r="G8" i="22"/>
  <c r="H6" i="22"/>
  <c r="G6" i="22"/>
  <c r="H5" i="22"/>
  <c r="G4" i="22"/>
  <c r="H4" i="22" s="1"/>
  <c r="T16" i="23"/>
  <c r="T15" i="23"/>
  <c r="B12" i="8"/>
  <c r="R14" i="23"/>
  <c r="L42" i="18"/>
  <c r="L41" i="18"/>
  <c r="L40" i="18"/>
  <c r="L39" i="18"/>
  <c r="L37" i="18"/>
  <c r="L34" i="18"/>
  <c r="E6" i="19"/>
  <c r="E5" i="19"/>
  <c r="E4" i="19"/>
  <c r="E3" i="19"/>
  <c r="J16" i="23"/>
  <c r="J15" i="23"/>
  <c r="J14" i="23"/>
  <c r="H4" i="23"/>
  <c r="I4" i="23" s="1"/>
  <c r="C2" i="23" s="1"/>
  <c r="I78" i="18"/>
  <c r="L56" i="18"/>
  <c r="C7" i="18"/>
  <c r="F78" i="18"/>
  <c r="C5" i="18"/>
  <c r="I69" i="18"/>
  <c r="H69" i="18"/>
  <c r="F69" i="18"/>
  <c r="C3" i="18"/>
  <c r="J25" i="18"/>
  <c r="F25" i="18"/>
  <c r="F20" i="20"/>
  <c r="J20" i="20"/>
  <c r="J13" i="20"/>
  <c r="J14" i="18"/>
  <c r="J16" i="18"/>
  <c r="H17" i="18"/>
  <c r="C27" i="23"/>
  <c r="H16" i="23"/>
  <c r="F16" i="23"/>
  <c r="H15" i="23"/>
  <c r="F15" i="23"/>
  <c r="X14" i="23"/>
  <c r="W14" i="23"/>
  <c r="Y14" i="23" s="1"/>
  <c r="T14" i="23"/>
  <c r="H14" i="23"/>
  <c r="F14" i="23"/>
  <c r="C11" i="23"/>
  <c r="I43" i="18"/>
  <c r="H43" i="18"/>
  <c r="F43" i="18"/>
  <c r="I42" i="18"/>
  <c r="I41" i="18"/>
  <c r="I40" i="18"/>
  <c r="I39" i="18"/>
  <c r="I38" i="18"/>
  <c r="I37" i="18"/>
  <c r="I36" i="18"/>
  <c r="I35" i="18"/>
  <c r="I34" i="18"/>
  <c r="I33" i="18"/>
  <c r="I32" i="18"/>
  <c r="I31" i="18"/>
  <c r="H41" i="18"/>
  <c r="H40" i="18"/>
  <c r="H39" i="18"/>
  <c r="H38" i="18"/>
  <c r="H37" i="18"/>
  <c r="H36" i="18"/>
  <c r="H35" i="18"/>
  <c r="H34" i="18"/>
  <c r="H33" i="18"/>
  <c r="H32" i="18"/>
  <c r="I30" i="18"/>
  <c r="I56" i="18" s="1"/>
  <c r="H31" i="18"/>
  <c r="F41" i="18"/>
  <c r="F40" i="18"/>
  <c r="F39" i="18"/>
  <c r="F38" i="18"/>
  <c r="F37" i="18"/>
  <c r="F36" i="18"/>
  <c r="F35" i="18"/>
  <c r="F34" i="18"/>
  <c r="F33" i="18"/>
  <c r="F32" i="18"/>
  <c r="F31" i="18"/>
  <c r="H30" i="18"/>
  <c r="F30" i="18"/>
  <c r="E42" i="18"/>
  <c r="C27" i="18"/>
  <c r="G25" i="8"/>
  <c r="F12" i="8"/>
  <c r="B13" i="8"/>
  <c r="G24" i="8"/>
  <c r="H12" i="8"/>
  <c r="G20" i="8"/>
  <c r="D20" i="8"/>
  <c r="F18" i="8"/>
  <c r="H21" i="12"/>
  <c r="E22" i="12"/>
  <c r="E23" i="12"/>
  <c r="E24" i="12"/>
  <c r="E25" i="12"/>
  <c r="E26" i="12"/>
  <c r="E27" i="12"/>
  <c r="E28" i="12"/>
  <c r="E29" i="12"/>
  <c r="E21" i="12"/>
  <c r="E31" i="12" s="1"/>
  <c r="C5" i="12" s="1"/>
  <c r="C3" i="12"/>
  <c r="B3" i="13" s="1"/>
  <c r="G3" i="13" s="1"/>
  <c r="G7" i="7"/>
  <c r="G8" i="7"/>
  <c r="G6" i="8"/>
  <c r="G4" i="8"/>
  <c r="F11" i="8"/>
  <c r="H63" i="17"/>
  <c r="G63" i="17"/>
  <c r="F63" i="17"/>
  <c r="C63" i="17"/>
  <c r="B63" i="17"/>
  <c r="A63" i="17"/>
  <c r="I62" i="17"/>
  <c r="D62" i="17"/>
  <c r="I61" i="17"/>
  <c r="D61" i="17"/>
  <c r="I60" i="17"/>
  <c r="D60" i="17"/>
  <c r="I59" i="17"/>
  <c r="I63" i="17" s="1"/>
  <c r="D59" i="17"/>
  <c r="D63" i="17" s="1"/>
  <c r="H56" i="17"/>
  <c r="G56" i="17"/>
  <c r="F56" i="17"/>
  <c r="C56" i="17"/>
  <c r="B56" i="17"/>
  <c r="A56" i="17"/>
  <c r="I55" i="17"/>
  <c r="D55" i="17"/>
  <c r="I54" i="17"/>
  <c r="D54" i="17"/>
  <c r="I53" i="17"/>
  <c r="D53" i="17"/>
  <c r="I52" i="17"/>
  <c r="D52" i="17"/>
  <c r="D56" i="17" s="1"/>
  <c r="I51" i="17"/>
  <c r="I50" i="17"/>
  <c r="I49" i="17"/>
  <c r="C49" i="17"/>
  <c r="B49" i="17"/>
  <c r="A49" i="17"/>
  <c r="I48" i="17"/>
  <c r="I56" i="17" s="1"/>
  <c r="D48" i="17"/>
  <c r="D47" i="17"/>
  <c r="D46" i="17"/>
  <c r="H45" i="17"/>
  <c r="G45" i="17"/>
  <c r="F45" i="17"/>
  <c r="D45" i="17"/>
  <c r="I44" i="17"/>
  <c r="D44" i="17"/>
  <c r="I43" i="17"/>
  <c r="D43" i="17"/>
  <c r="I42" i="17"/>
  <c r="D42" i="17"/>
  <c r="D49" i="17" s="1"/>
  <c r="I41" i="17"/>
  <c r="I40" i="17"/>
  <c r="I39" i="17"/>
  <c r="C39" i="17"/>
  <c r="B39" i="17"/>
  <c r="A39" i="17"/>
  <c r="I38" i="17"/>
  <c r="I45" i="17" s="1"/>
  <c r="D38" i="17"/>
  <c r="D37" i="17"/>
  <c r="D36" i="17"/>
  <c r="H35" i="17"/>
  <c r="G35" i="17"/>
  <c r="F35" i="17"/>
  <c r="D35" i="17"/>
  <c r="I34" i="17"/>
  <c r="D34" i="17"/>
  <c r="I33" i="17"/>
  <c r="D33" i="17"/>
  <c r="I32" i="17"/>
  <c r="D32" i="17"/>
  <c r="D39" i="17" s="1"/>
  <c r="I31" i="17"/>
  <c r="I30" i="17"/>
  <c r="I29" i="17"/>
  <c r="C29" i="17"/>
  <c r="B29" i="17"/>
  <c r="A29" i="17"/>
  <c r="I28" i="17"/>
  <c r="D28" i="17"/>
  <c r="I27" i="17"/>
  <c r="D27" i="17"/>
  <c r="I26" i="17"/>
  <c r="D26" i="17"/>
  <c r="I25" i="17"/>
  <c r="D25" i="17"/>
  <c r="I24" i="17"/>
  <c r="I35" i="17" s="1"/>
  <c r="D24" i="17"/>
  <c r="D23" i="17"/>
  <c r="D22" i="17"/>
  <c r="H21" i="17"/>
  <c r="G21" i="17"/>
  <c r="F21" i="17"/>
  <c r="D21" i="17"/>
  <c r="I20" i="17"/>
  <c r="D20" i="17"/>
  <c r="I19" i="17"/>
  <c r="D19" i="17"/>
  <c r="I18" i="17"/>
  <c r="D18" i="17"/>
  <c r="I17" i="17"/>
  <c r="D17" i="17"/>
  <c r="I16" i="17"/>
  <c r="D16" i="17"/>
  <c r="D29" i="17" s="1"/>
  <c r="I15" i="17"/>
  <c r="I14" i="17"/>
  <c r="I13" i="17"/>
  <c r="C13" i="17"/>
  <c r="B13" i="17"/>
  <c r="A13" i="17"/>
  <c r="I12" i="17"/>
  <c r="D12" i="17"/>
  <c r="I11" i="17"/>
  <c r="I21" i="17" s="1"/>
  <c r="D11" i="17"/>
  <c r="D10" i="17"/>
  <c r="D9" i="17"/>
  <c r="D8" i="17"/>
  <c r="D7" i="17"/>
  <c r="H6" i="17"/>
  <c r="G6" i="17"/>
  <c r="I6" i="17" s="1"/>
  <c r="D6" i="17"/>
  <c r="H5" i="17"/>
  <c r="H7" i="17" s="1"/>
  <c r="G5" i="17"/>
  <c r="D5" i="17"/>
  <c r="D13" i="17" s="1"/>
  <c r="H5" i="15"/>
  <c r="H63" i="16"/>
  <c r="F63" i="16"/>
  <c r="C63" i="16"/>
  <c r="B63" i="16"/>
  <c r="A63" i="16"/>
  <c r="I62" i="16"/>
  <c r="D62" i="16"/>
  <c r="D61" i="16"/>
  <c r="I60" i="16"/>
  <c r="D60" i="16"/>
  <c r="I59" i="16"/>
  <c r="D59" i="16"/>
  <c r="D63" i="16" s="1"/>
  <c r="H56" i="16"/>
  <c r="G56" i="16"/>
  <c r="F56" i="16"/>
  <c r="C56" i="16"/>
  <c r="B56" i="16"/>
  <c r="A56" i="16"/>
  <c r="I55" i="16"/>
  <c r="D55" i="16"/>
  <c r="I54" i="16"/>
  <c r="D54" i="16"/>
  <c r="I53" i="16"/>
  <c r="D53" i="16"/>
  <c r="I52" i="16"/>
  <c r="D52" i="16"/>
  <c r="D56" i="16" s="1"/>
  <c r="I51" i="16"/>
  <c r="I50" i="16"/>
  <c r="I49" i="16"/>
  <c r="C49" i="16"/>
  <c r="B49" i="16"/>
  <c r="A49" i="16"/>
  <c r="I48" i="16"/>
  <c r="I56" i="16" s="1"/>
  <c r="D48" i="16"/>
  <c r="D47" i="16"/>
  <c r="D46" i="16"/>
  <c r="H45" i="16"/>
  <c r="G45" i="16"/>
  <c r="F45" i="16"/>
  <c r="D45" i="16"/>
  <c r="I44" i="16"/>
  <c r="D44" i="16"/>
  <c r="I43" i="16"/>
  <c r="D43" i="16"/>
  <c r="I42" i="16"/>
  <c r="D42" i="16"/>
  <c r="D49" i="16" s="1"/>
  <c r="I41" i="16"/>
  <c r="I40" i="16"/>
  <c r="I39" i="16"/>
  <c r="C39" i="16"/>
  <c r="A39" i="16"/>
  <c r="I38" i="16"/>
  <c r="I45" i="16" s="1"/>
  <c r="D38" i="16"/>
  <c r="D37" i="16"/>
  <c r="D36" i="16"/>
  <c r="H35" i="16"/>
  <c r="F35" i="16"/>
  <c r="D35" i="16"/>
  <c r="I34" i="16"/>
  <c r="I33" i="16"/>
  <c r="D33" i="16"/>
  <c r="I32" i="16"/>
  <c r="D32" i="16"/>
  <c r="I31" i="16"/>
  <c r="I30" i="16"/>
  <c r="C29" i="16"/>
  <c r="B29" i="16"/>
  <c r="A29" i="16"/>
  <c r="I28" i="16"/>
  <c r="D28" i="16"/>
  <c r="I27" i="16"/>
  <c r="D27" i="16"/>
  <c r="I26" i="16"/>
  <c r="D26" i="16"/>
  <c r="I25" i="16"/>
  <c r="D25" i="16"/>
  <c r="I24" i="16"/>
  <c r="D24" i="16"/>
  <c r="D23" i="16"/>
  <c r="D22" i="16"/>
  <c r="H21" i="16"/>
  <c r="G21" i="16"/>
  <c r="F21" i="16"/>
  <c r="D21" i="16"/>
  <c r="I20" i="16"/>
  <c r="D20" i="16"/>
  <c r="I19" i="16"/>
  <c r="D19" i="16"/>
  <c r="I18" i="16"/>
  <c r="D18" i="16"/>
  <c r="I17" i="16"/>
  <c r="D17" i="16"/>
  <c r="I16" i="16"/>
  <c r="D16" i="16"/>
  <c r="D29" i="16" s="1"/>
  <c r="I15" i="16"/>
  <c r="I14" i="16"/>
  <c r="I13" i="16"/>
  <c r="C13" i="16"/>
  <c r="B13" i="16"/>
  <c r="A13" i="16"/>
  <c r="I12" i="16"/>
  <c r="D12" i="16"/>
  <c r="I11" i="16"/>
  <c r="I21" i="16" s="1"/>
  <c r="D11" i="16"/>
  <c r="D10" i="16"/>
  <c r="D9" i="16"/>
  <c r="D8" i="16"/>
  <c r="D7" i="16"/>
  <c r="H6" i="16"/>
  <c r="D6" i="16"/>
  <c r="H5" i="16"/>
  <c r="H7" i="16" s="1"/>
  <c r="G5" i="16"/>
  <c r="D5" i="16"/>
  <c r="D13" i="16" s="1"/>
  <c r="G34" i="15"/>
  <c r="G62" i="15"/>
  <c r="G61" i="15"/>
  <c r="G30" i="15"/>
  <c r="G29" i="15"/>
  <c r="B34" i="15"/>
  <c r="H63" i="15"/>
  <c r="G63" i="15"/>
  <c r="F63" i="15"/>
  <c r="C63" i="15"/>
  <c r="B63" i="15"/>
  <c r="A63" i="15"/>
  <c r="I62" i="15"/>
  <c r="D62" i="15"/>
  <c r="I61" i="15"/>
  <c r="D61" i="15"/>
  <c r="I60" i="15"/>
  <c r="D60" i="15"/>
  <c r="I59" i="15"/>
  <c r="I63" i="15" s="1"/>
  <c r="D59" i="15"/>
  <c r="H56" i="15"/>
  <c r="G56" i="15"/>
  <c r="F56" i="15"/>
  <c r="C56" i="15"/>
  <c r="B56" i="15"/>
  <c r="A56" i="15"/>
  <c r="I55" i="15"/>
  <c r="D55" i="15"/>
  <c r="I54" i="15"/>
  <c r="D54" i="15"/>
  <c r="I53" i="15"/>
  <c r="D53" i="15"/>
  <c r="I52" i="15"/>
  <c r="D52" i="15"/>
  <c r="I51" i="15"/>
  <c r="I50" i="15"/>
  <c r="I49" i="15"/>
  <c r="C49" i="15"/>
  <c r="B49" i="15"/>
  <c r="A49" i="15"/>
  <c r="I48" i="15"/>
  <c r="D48" i="15"/>
  <c r="D47" i="15"/>
  <c r="D46" i="15"/>
  <c r="H45" i="15"/>
  <c r="G45" i="15"/>
  <c r="F45" i="15"/>
  <c r="D45" i="15"/>
  <c r="I44" i="15"/>
  <c r="D44" i="15"/>
  <c r="I43" i="15"/>
  <c r="D43" i="15"/>
  <c r="I42" i="15"/>
  <c r="D42" i="15"/>
  <c r="I41" i="15"/>
  <c r="I40" i="15"/>
  <c r="I39" i="15"/>
  <c r="C39" i="15"/>
  <c r="B39" i="15"/>
  <c r="A39" i="15"/>
  <c r="I38" i="15"/>
  <c r="D38" i="15"/>
  <c r="D37" i="15"/>
  <c r="D36" i="15"/>
  <c r="H35" i="15"/>
  <c r="G35" i="15"/>
  <c r="F35" i="15"/>
  <c r="D35" i="15"/>
  <c r="I34" i="15"/>
  <c r="D34" i="15"/>
  <c r="I33" i="15"/>
  <c r="D33" i="15"/>
  <c r="I32" i="15"/>
  <c r="D32" i="15"/>
  <c r="I31" i="15"/>
  <c r="I30" i="15"/>
  <c r="I29" i="15"/>
  <c r="C29" i="15"/>
  <c r="B29" i="15"/>
  <c r="A29" i="15"/>
  <c r="I28" i="15"/>
  <c r="D28" i="15"/>
  <c r="I27" i="15"/>
  <c r="D27" i="15"/>
  <c r="I26" i="15"/>
  <c r="D26" i="15"/>
  <c r="I25" i="15"/>
  <c r="D25" i="15"/>
  <c r="I24" i="15"/>
  <c r="I35" i="15" s="1"/>
  <c r="D24" i="15"/>
  <c r="D23" i="15"/>
  <c r="D22" i="15"/>
  <c r="H21" i="15"/>
  <c r="G21" i="15"/>
  <c r="F21" i="15"/>
  <c r="D21" i="15"/>
  <c r="I20" i="15"/>
  <c r="D20" i="15"/>
  <c r="I19" i="15"/>
  <c r="D19" i="15"/>
  <c r="I18" i="15"/>
  <c r="D18" i="15"/>
  <c r="I17" i="15"/>
  <c r="D17" i="15"/>
  <c r="I16" i="15"/>
  <c r="D16" i="15"/>
  <c r="I15" i="15"/>
  <c r="I14" i="15"/>
  <c r="I13" i="15"/>
  <c r="C13" i="15"/>
  <c r="B13" i="15"/>
  <c r="G5" i="15" s="1"/>
  <c r="A13" i="15"/>
  <c r="I12" i="15"/>
  <c r="D12" i="15"/>
  <c r="I11" i="15"/>
  <c r="D11" i="15"/>
  <c r="D10" i="15"/>
  <c r="D9" i="15"/>
  <c r="D8" i="15"/>
  <c r="D7" i="15"/>
  <c r="D6" i="15"/>
  <c r="D5" i="15"/>
  <c r="B5" i="10"/>
  <c r="J3" i="8"/>
  <c r="F15" i="8"/>
  <c r="F14" i="8"/>
  <c r="F13" i="8"/>
  <c r="N9" i="8" a="1"/>
  <c r="N9" i="8" s="1"/>
  <c r="E2" i="8"/>
  <c r="H63" i="11"/>
  <c r="G63" i="11"/>
  <c r="F63" i="11"/>
  <c r="C63" i="11"/>
  <c r="B63" i="11"/>
  <c r="A63" i="11"/>
  <c r="I62" i="11"/>
  <c r="D62" i="11"/>
  <c r="I61" i="11"/>
  <c r="D61" i="11"/>
  <c r="I60" i="11"/>
  <c r="D60" i="11"/>
  <c r="I59" i="11"/>
  <c r="I63" i="11" s="1"/>
  <c r="D59" i="11"/>
  <c r="D63" i="11" s="1"/>
  <c r="H56" i="11"/>
  <c r="G56" i="11"/>
  <c r="F56" i="11"/>
  <c r="C56" i="11"/>
  <c r="B56" i="11"/>
  <c r="A56" i="11"/>
  <c r="I55" i="11"/>
  <c r="D55" i="11"/>
  <c r="I54" i="11"/>
  <c r="D54" i="11"/>
  <c r="I53" i="11"/>
  <c r="D53" i="11"/>
  <c r="I52" i="11"/>
  <c r="D52" i="11"/>
  <c r="D56" i="11" s="1"/>
  <c r="I51" i="11"/>
  <c r="I50" i="11"/>
  <c r="I49" i="11"/>
  <c r="C49" i="11"/>
  <c r="B49" i="11"/>
  <c r="A49" i="11"/>
  <c r="I48" i="11"/>
  <c r="I56" i="11" s="1"/>
  <c r="D48" i="11"/>
  <c r="D47" i="11"/>
  <c r="D46" i="11"/>
  <c r="H45" i="11"/>
  <c r="G45" i="11"/>
  <c r="F45" i="11"/>
  <c r="D45" i="11"/>
  <c r="I44" i="11"/>
  <c r="D44" i="11"/>
  <c r="I43" i="11"/>
  <c r="D43" i="11"/>
  <c r="I42" i="11"/>
  <c r="D42" i="11"/>
  <c r="D49" i="11" s="1"/>
  <c r="I41" i="11"/>
  <c r="I40" i="11"/>
  <c r="I39" i="11"/>
  <c r="C39" i="11"/>
  <c r="B39" i="11"/>
  <c r="A39" i="11"/>
  <c r="I38" i="11"/>
  <c r="I45" i="11" s="1"/>
  <c r="D38" i="11"/>
  <c r="D37" i="11"/>
  <c r="D36" i="11"/>
  <c r="H35" i="11"/>
  <c r="G35" i="11"/>
  <c r="F35" i="11"/>
  <c r="D35" i="11"/>
  <c r="I34" i="11"/>
  <c r="D34" i="11"/>
  <c r="I33" i="11"/>
  <c r="D33" i="11"/>
  <c r="I32" i="11"/>
  <c r="D32" i="11"/>
  <c r="D39" i="11" s="1"/>
  <c r="I31" i="11"/>
  <c r="I30" i="11"/>
  <c r="I29" i="11"/>
  <c r="C29" i="11"/>
  <c r="B29" i="11"/>
  <c r="A29" i="11"/>
  <c r="I28" i="11"/>
  <c r="D28" i="11"/>
  <c r="I27" i="11"/>
  <c r="D27" i="11"/>
  <c r="I26" i="11"/>
  <c r="D26" i="11"/>
  <c r="I25" i="11"/>
  <c r="D25" i="11"/>
  <c r="I24" i="11"/>
  <c r="I35" i="11" s="1"/>
  <c r="D24" i="11"/>
  <c r="D23" i="11"/>
  <c r="D22" i="11"/>
  <c r="G21" i="11"/>
  <c r="F21" i="11"/>
  <c r="D21" i="11"/>
  <c r="I20" i="11"/>
  <c r="D20" i="11"/>
  <c r="I19" i="11"/>
  <c r="D19" i="11"/>
  <c r="I18" i="11"/>
  <c r="D18" i="11"/>
  <c r="I17" i="11"/>
  <c r="D17" i="11"/>
  <c r="D16" i="11"/>
  <c r="D29" i="11" s="1"/>
  <c r="I15" i="11"/>
  <c r="I14" i="11"/>
  <c r="I13" i="11"/>
  <c r="C13" i="11"/>
  <c r="A13" i="11"/>
  <c r="I12" i="11"/>
  <c r="D12" i="11"/>
  <c r="I11" i="11"/>
  <c r="D11" i="11"/>
  <c r="D10" i="11"/>
  <c r="D9" i="11"/>
  <c r="D8" i="11"/>
  <c r="D7" i="11"/>
  <c r="G6" i="11"/>
  <c r="D6" i="11"/>
  <c r="H5" i="11"/>
  <c r="H16" i="10"/>
  <c r="D16" i="10"/>
  <c r="H63" i="10"/>
  <c r="G63" i="10"/>
  <c r="F63" i="10"/>
  <c r="C63" i="10"/>
  <c r="B63" i="10"/>
  <c r="A63" i="10"/>
  <c r="I62" i="10"/>
  <c r="D62" i="10"/>
  <c r="I61" i="10"/>
  <c r="D61" i="10"/>
  <c r="I60" i="10"/>
  <c r="D60" i="10"/>
  <c r="I59" i="10"/>
  <c r="I63" i="10" s="1"/>
  <c r="D59" i="10"/>
  <c r="D63" i="10" s="1"/>
  <c r="H56" i="10"/>
  <c r="G56" i="10"/>
  <c r="F56" i="10"/>
  <c r="C56" i="10"/>
  <c r="B56" i="10"/>
  <c r="A56" i="10"/>
  <c r="I55" i="10"/>
  <c r="D55" i="10"/>
  <c r="I54" i="10"/>
  <c r="D54" i="10"/>
  <c r="I53" i="10"/>
  <c r="D53" i="10"/>
  <c r="I52" i="10"/>
  <c r="D52" i="10"/>
  <c r="D56" i="10" s="1"/>
  <c r="I51" i="10"/>
  <c r="I50" i="10"/>
  <c r="I49" i="10"/>
  <c r="C49" i="10"/>
  <c r="B49" i="10"/>
  <c r="A49" i="10"/>
  <c r="I48" i="10"/>
  <c r="I56" i="10" s="1"/>
  <c r="D48" i="10"/>
  <c r="D47" i="10"/>
  <c r="D46" i="10"/>
  <c r="H45" i="10"/>
  <c r="G45" i="10"/>
  <c r="F45" i="10"/>
  <c r="D45" i="10"/>
  <c r="I44" i="10"/>
  <c r="D44" i="10"/>
  <c r="I43" i="10"/>
  <c r="D43" i="10"/>
  <c r="I42" i="10"/>
  <c r="D42" i="10"/>
  <c r="D49" i="10" s="1"/>
  <c r="I41" i="10"/>
  <c r="I40" i="10"/>
  <c r="I39" i="10"/>
  <c r="C39" i="10"/>
  <c r="B39" i="10"/>
  <c r="A39" i="10"/>
  <c r="I38" i="10"/>
  <c r="I45" i="10" s="1"/>
  <c r="D38" i="10"/>
  <c r="D37" i="10"/>
  <c r="D36" i="10"/>
  <c r="H35" i="10"/>
  <c r="G35" i="10"/>
  <c r="F35" i="10"/>
  <c r="D35" i="10"/>
  <c r="I34" i="10"/>
  <c r="D34" i="10"/>
  <c r="I33" i="10"/>
  <c r="D33" i="10"/>
  <c r="I32" i="10"/>
  <c r="D32" i="10"/>
  <c r="D39" i="10" s="1"/>
  <c r="I31" i="10"/>
  <c r="I30" i="10"/>
  <c r="I29" i="10"/>
  <c r="C29" i="10"/>
  <c r="B29" i="10"/>
  <c r="A29" i="10"/>
  <c r="I28" i="10"/>
  <c r="D28" i="10"/>
  <c r="I27" i="10"/>
  <c r="D27" i="10"/>
  <c r="I26" i="10"/>
  <c r="D26" i="10"/>
  <c r="I25" i="10"/>
  <c r="D25" i="10"/>
  <c r="I24" i="10"/>
  <c r="I35" i="10" s="1"/>
  <c r="D24" i="10"/>
  <c r="D23" i="10"/>
  <c r="D22" i="10"/>
  <c r="G21" i="10"/>
  <c r="F21" i="10"/>
  <c r="D21" i="10"/>
  <c r="I20" i="10"/>
  <c r="D20" i="10"/>
  <c r="I19" i="10"/>
  <c r="D19" i="10"/>
  <c r="I18" i="10"/>
  <c r="D18" i="10"/>
  <c r="I17" i="10"/>
  <c r="D17" i="10"/>
  <c r="D29" i="10"/>
  <c r="I15" i="10"/>
  <c r="I14" i="10"/>
  <c r="I13" i="10"/>
  <c r="A13" i="10"/>
  <c r="I12" i="10"/>
  <c r="D12" i="10"/>
  <c r="I11" i="10"/>
  <c r="D10" i="10"/>
  <c r="D9" i="10"/>
  <c r="D8" i="10"/>
  <c r="D7" i="10"/>
  <c r="G6" i="10"/>
  <c r="D6" i="10"/>
  <c r="E3" i="7"/>
  <c r="B3" i="7"/>
  <c r="D16" i="6"/>
  <c r="D17" i="6"/>
  <c r="D18" i="6"/>
  <c r="D19" i="6"/>
  <c r="D20" i="6"/>
  <c r="D21" i="6"/>
  <c r="D22" i="6"/>
  <c r="D23" i="6"/>
  <c r="D24" i="6"/>
  <c r="D25" i="6"/>
  <c r="D26" i="6"/>
  <c r="D27" i="6"/>
  <c r="D28" i="6"/>
  <c r="C8" i="8"/>
  <c r="G23" i="7"/>
  <c r="G24" i="7"/>
  <c r="G25" i="7"/>
  <c r="I25" i="7" s="1"/>
  <c r="G26" i="7"/>
  <c r="I26" i="7" s="1"/>
  <c r="G27" i="7"/>
  <c r="I27" i="7" s="1"/>
  <c r="G28" i="7"/>
  <c r="I28" i="7" s="1"/>
  <c r="G29" i="7"/>
  <c r="I29" i="7" s="1"/>
  <c r="G30" i="7"/>
  <c r="I30" i="7" s="1"/>
  <c r="G31" i="7"/>
  <c r="I31" i="7" s="1"/>
  <c r="G32" i="7"/>
  <c r="I32" i="7" s="1"/>
  <c r="G33" i="7"/>
  <c r="I33" i="7" s="1"/>
  <c r="G34" i="7"/>
  <c r="I34" i="7" s="1"/>
  <c r="G35" i="7"/>
  <c r="I35" i="7" s="1"/>
  <c r="G36" i="7"/>
  <c r="I36" i="7" s="1"/>
  <c r="G37" i="7"/>
  <c r="I37" i="7" s="1"/>
  <c r="G38" i="7"/>
  <c r="I38" i="7" s="1"/>
  <c r="G39" i="7"/>
  <c r="I39" i="7" s="1"/>
  <c r="G40" i="7"/>
  <c r="I40" i="7" s="1"/>
  <c r="G41" i="7"/>
  <c r="I41" i="7" s="1"/>
  <c r="G42" i="7"/>
  <c r="I42" i="7" s="1"/>
  <c r="G43" i="7"/>
  <c r="I43" i="7" s="1"/>
  <c r="B2" i="7"/>
  <c r="D44" i="7"/>
  <c r="B44" i="7"/>
  <c r="G3" i="7"/>
  <c r="G4" i="7"/>
  <c r="G5" i="7"/>
  <c r="G6" i="7"/>
  <c r="G9" i="7"/>
  <c r="G10" i="7"/>
  <c r="G11" i="7"/>
  <c r="G12" i="7"/>
  <c r="G13" i="7"/>
  <c r="G14" i="7"/>
  <c r="G15" i="7"/>
  <c r="G16" i="7"/>
  <c r="G17" i="7"/>
  <c r="G18" i="7"/>
  <c r="G19" i="7"/>
  <c r="G20" i="7"/>
  <c r="G21" i="7"/>
  <c r="G22" i="7"/>
  <c r="I3" i="7"/>
  <c r="I4" i="7"/>
  <c r="I5" i="7"/>
  <c r="I6" i="7"/>
  <c r="I7" i="7"/>
  <c r="I8" i="7"/>
  <c r="I9" i="7"/>
  <c r="I10" i="7"/>
  <c r="I11" i="7"/>
  <c r="I12" i="7"/>
  <c r="I13" i="7"/>
  <c r="I14" i="7"/>
  <c r="I15" i="7"/>
  <c r="I16" i="7"/>
  <c r="I17" i="7"/>
  <c r="I18" i="7"/>
  <c r="I19" i="7"/>
  <c r="I20" i="7"/>
  <c r="I21" i="7"/>
  <c r="I22" i="7"/>
  <c r="I23" i="7"/>
  <c r="I24" i="7"/>
  <c r="G2" i="7"/>
  <c r="I2" i="7" s="1"/>
  <c r="C11" i="6"/>
  <c r="H16" i="6"/>
  <c r="H63" i="6"/>
  <c r="G63" i="6"/>
  <c r="F63" i="6"/>
  <c r="D63" i="6"/>
  <c r="C63" i="6"/>
  <c r="B63" i="6"/>
  <c r="A63" i="6"/>
  <c r="I62" i="6"/>
  <c r="D62" i="6"/>
  <c r="I61" i="6"/>
  <c r="D61" i="6"/>
  <c r="I60" i="6"/>
  <c r="D60" i="6"/>
  <c r="I59" i="6"/>
  <c r="I63" i="6" s="1"/>
  <c r="D59" i="6"/>
  <c r="H56" i="6"/>
  <c r="G56" i="6"/>
  <c r="F56" i="6"/>
  <c r="C56" i="6"/>
  <c r="B56" i="6"/>
  <c r="A56" i="6"/>
  <c r="I55" i="6"/>
  <c r="D55" i="6"/>
  <c r="I54" i="6"/>
  <c r="D54" i="6"/>
  <c r="I53" i="6"/>
  <c r="D53" i="6"/>
  <c r="I52" i="6"/>
  <c r="D52" i="6"/>
  <c r="D56" i="6" s="1"/>
  <c r="I51" i="6"/>
  <c r="I50" i="6"/>
  <c r="I49" i="6"/>
  <c r="I56" i="6" s="1"/>
  <c r="C49" i="6"/>
  <c r="B49" i="6"/>
  <c r="A49" i="6"/>
  <c r="I48" i="6"/>
  <c r="D48" i="6"/>
  <c r="D47" i="6"/>
  <c r="D46" i="6"/>
  <c r="H45" i="6"/>
  <c r="G45" i="6"/>
  <c r="F45" i="6"/>
  <c r="D45" i="6"/>
  <c r="I44" i="6"/>
  <c r="D44" i="6"/>
  <c r="I43" i="6"/>
  <c r="D43" i="6"/>
  <c r="D49" i="6" s="1"/>
  <c r="I42" i="6"/>
  <c r="D42" i="6"/>
  <c r="I41" i="6"/>
  <c r="I40" i="6"/>
  <c r="I39" i="6"/>
  <c r="I45" i="6" s="1"/>
  <c r="C39" i="6"/>
  <c r="B39" i="6"/>
  <c r="A39" i="6"/>
  <c r="I38" i="6"/>
  <c r="D38" i="6"/>
  <c r="D37" i="6"/>
  <c r="D36" i="6"/>
  <c r="H35" i="6"/>
  <c r="G35" i="6"/>
  <c r="F35" i="6"/>
  <c r="D35" i="6"/>
  <c r="I34" i="6"/>
  <c r="D34" i="6"/>
  <c r="I33" i="6"/>
  <c r="D33" i="6"/>
  <c r="I32" i="6"/>
  <c r="D32" i="6"/>
  <c r="D39" i="6" s="1"/>
  <c r="I31" i="6"/>
  <c r="I30" i="6"/>
  <c r="I29" i="6"/>
  <c r="C29" i="6"/>
  <c r="B29" i="6"/>
  <c r="A29" i="6"/>
  <c r="I28" i="6"/>
  <c r="I27" i="6"/>
  <c r="I26" i="6"/>
  <c r="I35" i="6" s="1"/>
  <c r="I25" i="6"/>
  <c r="I24" i="6"/>
  <c r="H21" i="6"/>
  <c r="H6" i="6" s="1"/>
  <c r="G21" i="6"/>
  <c r="F21" i="6"/>
  <c r="I20" i="6"/>
  <c r="I19" i="6"/>
  <c r="I18" i="6"/>
  <c r="I17" i="6"/>
  <c r="I16" i="6"/>
  <c r="D29" i="6"/>
  <c r="I15" i="6"/>
  <c r="I14" i="6"/>
  <c r="I13" i="6"/>
  <c r="C13" i="6"/>
  <c r="H5" i="6" s="1"/>
  <c r="A13" i="6"/>
  <c r="I12" i="6"/>
  <c r="D12" i="6"/>
  <c r="I11" i="6"/>
  <c r="I21" i="6" s="1"/>
  <c r="D11" i="6"/>
  <c r="D10" i="6"/>
  <c r="D9" i="6"/>
  <c r="D8" i="6"/>
  <c r="D7" i="6"/>
  <c r="D6" i="6"/>
  <c r="B5" i="6"/>
  <c r="B13" i="6" s="1"/>
  <c r="G5" i="6" s="1"/>
  <c r="G7" i="1"/>
  <c r="G6" i="1"/>
  <c r="B5" i="1"/>
  <c r="I54" i="1"/>
  <c r="I53" i="1"/>
  <c r="F20" i="8" l="1"/>
  <c r="H20" i="8" s="1"/>
  <c r="H22" i="8" s="1"/>
  <c r="H24" i="8" s="1"/>
  <c r="D4" i="8"/>
  <c r="J43" i="18"/>
  <c r="L16" i="23"/>
  <c r="L15" i="23"/>
  <c r="L14" i="23"/>
  <c r="I56" i="23"/>
  <c r="F56" i="23"/>
  <c r="C4" i="23" s="1"/>
  <c r="F42" i="18"/>
  <c r="F56" i="18" s="1"/>
  <c r="H42" i="18"/>
  <c r="C4" i="18"/>
  <c r="J30" i="18"/>
  <c r="L31" i="18"/>
  <c r="J31" i="18"/>
  <c r="L32" i="18"/>
  <c r="J32" i="18"/>
  <c r="L33" i="18"/>
  <c r="J33" i="18"/>
  <c r="J34" i="18"/>
  <c r="L35" i="18"/>
  <c r="J35" i="18"/>
  <c r="L36" i="18"/>
  <c r="J36" i="18"/>
  <c r="J37" i="18"/>
  <c r="L38" i="18"/>
  <c r="J38" i="18"/>
  <c r="J39" i="18"/>
  <c r="J40" i="18"/>
  <c r="J41" i="18"/>
  <c r="J42" i="18"/>
  <c r="D3" i="18"/>
  <c r="D6" i="18"/>
  <c r="D5" i="18"/>
  <c r="D4" i="18"/>
  <c r="C9" i="12"/>
  <c r="G7" i="17"/>
  <c r="I5" i="17"/>
  <c r="I7" i="17"/>
  <c r="D49" i="15"/>
  <c r="G6" i="15"/>
  <c r="G7" i="15" s="1"/>
  <c r="I5" i="16"/>
  <c r="G35" i="16"/>
  <c r="I29" i="16"/>
  <c r="I35" i="16" s="1"/>
  <c r="B39" i="16"/>
  <c r="D34" i="16"/>
  <c r="D39" i="16" s="1"/>
  <c r="G63" i="16"/>
  <c r="I61" i="16"/>
  <c r="I63" i="16" s="1"/>
  <c r="I45" i="15"/>
  <c r="C4" i="8"/>
  <c r="H6" i="8" s="1"/>
  <c r="H8" i="8" s="1"/>
  <c r="D39" i="15"/>
  <c r="D29" i="15"/>
  <c r="D63" i="15"/>
  <c r="D56" i="15"/>
  <c r="I56" i="15"/>
  <c r="H6" i="15"/>
  <c r="H7" i="15" s="1"/>
  <c r="I21" i="15"/>
  <c r="D13" i="15"/>
  <c r="I5" i="15"/>
  <c r="K16" i="8"/>
  <c r="K17" i="8"/>
  <c r="H4" i="8"/>
  <c r="K14" i="8"/>
  <c r="K15" i="8"/>
  <c r="K12" i="8"/>
  <c r="K13" i="8"/>
  <c r="K11" i="8"/>
  <c r="B13" i="11"/>
  <c r="G5" i="11" s="1"/>
  <c r="D5" i="11"/>
  <c r="D13" i="11" s="1"/>
  <c r="H21" i="11"/>
  <c r="H6" i="11" s="1"/>
  <c r="I16" i="11"/>
  <c r="I21" i="11" s="1"/>
  <c r="B13" i="10"/>
  <c r="G5" i="10" s="1"/>
  <c r="D5" i="10"/>
  <c r="C13" i="10"/>
  <c r="H5" i="10" s="1"/>
  <c r="D11" i="10"/>
  <c r="H21" i="10"/>
  <c r="H6" i="10" s="1"/>
  <c r="I16" i="10"/>
  <c r="I21" i="10" s="1"/>
  <c r="H7" i="6"/>
  <c r="G6" i="6"/>
  <c r="G7" i="6" s="1"/>
  <c r="I5" i="6"/>
  <c r="D5" i="6"/>
  <c r="D13" i="6" s="1"/>
  <c r="I43" i="1"/>
  <c r="I17" i="1"/>
  <c r="I18" i="1"/>
  <c r="C7" i="23" l="1"/>
  <c r="H56" i="23"/>
  <c r="H56" i="18"/>
  <c r="L30" i="18"/>
  <c r="D7" i="18"/>
  <c r="C16" i="12"/>
  <c r="C15" i="12"/>
  <c r="C14" i="12"/>
  <c r="C12" i="12"/>
  <c r="C11" i="12"/>
  <c r="C13" i="12"/>
  <c r="G6" i="16"/>
  <c r="I7" i="15"/>
  <c r="I6" i="15"/>
  <c r="H7" i="11"/>
  <c r="I6" i="11"/>
  <c r="G7" i="11"/>
  <c r="I5" i="11"/>
  <c r="I6" i="10"/>
  <c r="H7" i="10"/>
  <c r="D13" i="10"/>
  <c r="G7" i="10"/>
  <c r="I5" i="10"/>
  <c r="I6" i="6"/>
  <c r="I7" i="6"/>
  <c r="C8" i="23" l="1"/>
  <c r="D7" i="23"/>
  <c r="D6" i="23"/>
  <c r="D5" i="23"/>
  <c r="D3" i="23"/>
  <c r="D4" i="23"/>
  <c r="I6" i="16"/>
  <c r="G7" i="16"/>
  <c r="I7" i="16" s="1"/>
  <c r="I7" i="11"/>
  <c r="I7" i="10"/>
  <c r="H63" i="1" l="1"/>
  <c r="G63" i="1"/>
  <c r="C63" i="1"/>
  <c r="B63" i="1"/>
  <c r="H56" i="1"/>
  <c r="G56" i="1"/>
  <c r="C56" i="1"/>
  <c r="B56" i="1"/>
  <c r="C49" i="1"/>
  <c r="B49" i="1"/>
  <c r="H45" i="1"/>
  <c r="G45" i="1"/>
  <c r="C39" i="1"/>
  <c r="B39" i="1"/>
  <c r="H35" i="1"/>
  <c r="G35" i="1"/>
  <c r="C29" i="1"/>
  <c r="B29" i="1"/>
  <c r="G21" i="1"/>
  <c r="H21" i="1"/>
  <c r="C13" i="1"/>
  <c r="B13" i="1"/>
  <c r="G5" i="1" s="1"/>
  <c r="I39" i="1" l="1"/>
  <c r="I40" i="1"/>
  <c r="I27" i="1"/>
  <c r="I28" i="1"/>
  <c r="I29" i="1"/>
  <c r="I30" i="1"/>
  <c r="I31" i="1"/>
  <c r="I12" i="1"/>
  <c r="I13" i="1"/>
  <c r="I14" i="1"/>
  <c r="I15" i="1"/>
  <c r="I16" i="1"/>
  <c r="I19" i="1"/>
  <c r="I20" i="1"/>
  <c r="F21" i="1" l="1"/>
  <c r="F35" i="1"/>
  <c r="F45" i="1"/>
  <c r="F56" i="1"/>
  <c r="F63" i="1"/>
  <c r="A63" i="1"/>
  <c r="A56" i="1"/>
  <c r="A49" i="1"/>
  <c r="A39" i="1"/>
  <c r="A29" i="1"/>
  <c r="A13" i="1"/>
  <c r="H6" i="1"/>
  <c r="H5" i="1"/>
  <c r="I6" i="1" l="1"/>
  <c r="I5" i="1"/>
  <c r="I61" i="1"/>
  <c r="I42" i="1"/>
  <c r="D12" i="1"/>
  <c r="D11" i="1"/>
  <c r="D10" i="1"/>
  <c r="D9" i="1"/>
  <c r="D8" i="1"/>
  <c r="D7" i="1"/>
  <c r="D6" i="1"/>
  <c r="D5" i="1"/>
  <c r="I34" i="1"/>
  <c r="D25" i="1"/>
  <c r="I44" i="1"/>
  <c r="I41" i="1"/>
  <c r="I38" i="1"/>
  <c r="D46" i="1"/>
  <c r="D45" i="1"/>
  <c r="D44" i="1"/>
  <c r="D47" i="1"/>
  <c r="D43" i="1"/>
  <c r="D48" i="1"/>
  <c r="D42" i="1"/>
  <c r="I50" i="1"/>
  <c r="I25" i="1"/>
  <c r="I33" i="1"/>
  <c r="I32" i="1"/>
  <c r="I24" i="1"/>
  <c r="I26" i="1"/>
  <c r="I11" i="1"/>
  <c r="I21" i="1" s="1"/>
  <c r="I62" i="1"/>
  <c r="I60" i="1"/>
  <c r="I59" i="1"/>
  <c r="D38" i="1"/>
  <c r="D34" i="1"/>
  <c r="D37" i="1"/>
  <c r="D36" i="1"/>
  <c r="D35" i="1"/>
  <c r="D33" i="1"/>
  <c r="D32" i="1"/>
  <c r="I48" i="1"/>
  <c r="I51" i="1"/>
  <c r="I55" i="1"/>
  <c r="I52" i="1"/>
  <c r="I49" i="1"/>
  <c r="D62" i="1"/>
  <c r="D61" i="1"/>
  <c r="D60" i="1"/>
  <c r="D59" i="1"/>
  <c r="D53" i="1"/>
  <c r="D54" i="1"/>
  <c r="D55" i="1"/>
  <c r="D52" i="1"/>
  <c r="D28" i="1"/>
  <c r="D17" i="1"/>
  <c r="D18" i="1"/>
  <c r="D19" i="1"/>
  <c r="D20" i="1"/>
  <c r="D21" i="1"/>
  <c r="D22" i="1"/>
  <c r="D23" i="1"/>
  <c r="D24" i="1"/>
  <c r="D26" i="1"/>
  <c r="D27" i="1"/>
  <c r="D16" i="1"/>
  <c r="I45" i="1" l="1"/>
  <c r="D63" i="1"/>
  <c r="I63" i="1"/>
  <c r="D49" i="1"/>
  <c r="I56" i="1"/>
  <c r="D39" i="1"/>
  <c r="D13" i="1"/>
  <c r="D29" i="1"/>
  <c r="I35" i="1"/>
  <c r="D56" i="1"/>
  <c r="H7" i="1"/>
  <c r="I7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tc={C5761B51-FD00-44C5-960C-32900EBDF289}</author>
    <author>tc={6567D7AA-4E67-4FB4-9BE2-1F1B74D7D09C}</author>
    <author>tc={8EE8873F-78A2-462E-9DC9-CC1ECE8F76F7}</author>
  </authors>
  <commentList>
    <comment ref="D3" authorId="0" shapeId="0" xr:uid="{C5761B51-FD00-44C5-960C-32900EBDF2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Esto se actualiza mes con mes, es lo que deberia de tener ahorrado desde el inicio de mi vida laboral.
</t>
      </text>
    </comment>
    <comment ref="G4" authorId="1" shapeId="0" xr:uid="{6567D7AA-4E67-4FB4-9BE2-1F1B74D7D09C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31,120 son la jefa
</t>
      </text>
    </comment>
    <comment ref="F12" authorId="2" shapeId="0" xr:uid="{8EE8873F-78A2-462E-9DC9-CC1ECE8F76F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31,120 No son míos
</t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<sst xmlns="http://schemas.openxmlformats.org/spreadsheetml/2006/main" count="1187" uniqueCount="232">
  <si>
    <t>Montly Budget</t>
  </si>
  <si>
    <t>INCOME</t>
  </si>
  <si>
    <t>Budget</t>
  </si>
  <si>
    <t>Actual</t>
  </si>
  <si>
    <t>Difference</t>
  </si>
  <si>
    <t>[42]</t>
  </si>
  <si>
    <t>BUDGET SUMMARY</t>
  </si>
  <si>
    <t>Salario</t>
  </si>
  <si>
    <t>Total Income</t>
  </si>
  <si>
    <t>Ingresos por intereses</t>
  </si>
  <si>
    <t>Total Expenses</t>
  </si>
  <si>
    <t>Dividends</t>
  </si>
  <si>
    <t>NET</t>
  </si>
  <si>
    <t>Regalos Recibidos</t>
  </si>
  <si>
    <t>Devoluciones</t>
  </si>
  <si>
    <t>Transferencias de ahorros</t>
  </si>
  <si>
    <t>DAILY LIVING</t>
  </si>
  <si>
    <t>Otros</t>
  </si>
  <si>
    <t>Super</t>
  </si>
  <si>
    <t>Cosas personales</t>
  </si>
  <si>
    <t>Ropa</t>
  </si>
  <si>
    <t>Limpieza</t>
  </si>
  <si>
    <t>Gastos Vivienda</t>
  </si>
  <si>
    <t>Educacion</t>
  </si>
  <si>
    <t xml:space="preserve">Pago a casa </t>
  </si>
  <si>
    <t>Salidas/restaurantes</t>
  </si>
  <si>
    <t>Telefono</t>
  </si>
  <si>
    <t>Barberia</t>
  </si>
  <si>
    <t>Comida del perro</t>
  </si>
  <si>
    <t xml:space="preserve">Estacionamiento </t>
  </si>
  <si>
    <t xml:space="preserve">Diversion </t>
  </si>
  <si>
    <t>Actividades</t>
  </si>
  <si>
    <t>Libros</t>
  </si>
  <si>
    <t>Videojuegos</t>
  </si>
  <si>
    <t>Hoobbies</t>
  </si>
  <si>
    <t>Media</t>
  </si>
  <si>
    <t>Cine</t>
  </si>
  <si>
    <t>Vacaciones</t>
  </si>
  <si>
    <t>Transporte</t>
  </si>
  <si>
    <t>Deportes</t>
  </si>
  <si>
    <t xml:space="preserve">Pagos Auto </t>
  </si>
  <si>
    <t xml:space="preserve">Conciertos </t>
  </si>
  <si>
    <t>Seguro de auto</t>
  </si>
  <si>
    <t>OTROS</t>
  </si>
  <si>
    <t>Gasolina</t>
  </si>
  <si>
    <t>Taxis/camion/metro</t>
  </si>
  <si>
    <t>Reparaciones</t>
  </si>
  <si>
    <t>Multas/Fees</t>
  </si>
  <si>
    <t>Ahorros</t>
  </si>
  <si>
    <t xml:space="preserve">Ahorro Casa </t>
  </si>
  <si>
    <t>Fondo de retiro</t>
  </si>
  <si>
    <t>Inversiones</t>
  </si>
  <si>
    <t>Salud</t>
  </si>
  <si>
    <t xml:space="preserve">Ahorro diversion </t>
  </si>
  <si>
    <t>Seguro de salud</t>
  </si>
  <si>
    <t>Doctor/Dentista</t>
  </si>
  <si>
    <t>Medicina</t>
  </si>
  <si>
    <t xml:space="preserve">Creamas </t>
  </si>
  <si>
    <t>Seguro de vida</t>
  </si>
  <si>
    <t>Gastos Mascota</t>
  </si>
  <si>
    <t xml:space="preserve">Oblgiaciones </t>
  </si>
  <si>
    <t>Impuestos</t>
  </si>
  <si>
    <t>Tarjetas de credito</t>
  </si>
  <si>
    <t>Otras deudas</t>
  </si>
  <si>
    <t>CHARITY/GIFTS</t>
  </si>
  <si>
    <t>Regalos dados</t>
  </si>
  <si>
    <t>Donaciones</t>
  </si>
  <si>
    <t>Ofrendas</t>
  </si>
  <si>
    <t>Subscrpciones</t>
  </si>
  <si>
    <t>Misc</t>
  </si>
  <si>
    <t xml:space="preserve">Spotify </t>
  </si>
  <si>
    <t>Comisiones del banco</t>
  </si>
  <si>
    <t xml:space="preserve">Gimnasio </t>
  </si>
  <si>
    <t xml:space="preserve">Otras </t>
  </si>
  <si>
    <t>Gastos Escuela</t>
  </si>
  <si>
    <t>Anytime</t>
  </si>
  <si>
    <t>Spotify</t>
  </si>
  <si>
    <t>Otros(Verificacion Vehicular)</t>
  </si>
  <si>
    <t>Doctor/Dentista (Doctor)</t>
  </si>
  <si>
    <t xml:space="preserve">Cremas </t>
  </si>
  <si>
    <t>Of</t>
  </si>
  <si>
    <t>Javier</t>
  </si>
  <si>
    <t>Fondo de ahorro</t>
  </si>
  <si>
    <t>SBUX</t>
  </si>
  <si>
    <t>COMIDA CON MAMA</t>
  </si>
  <si>
    <t>Podologo</t>
  </si>
  <si>
    <t>Comida danna</t>
  </si>
  <si>
    <t>RICHI VACUNAS</t>
  </si>
  <si>
    <t>Cruda</t>
  </si>
  <si>
    <t>NVIDIA Tarjeta</t>
  </si>
  <si>
    <t>Comida con karla</t>
  </si>
  <si>
    <t>VISA</t>
  </si>
  <si>
    <t>DUCHA EN POLANCO</t>
  </si>
  <si>
    <t>DESAYUNO EN POLANCO</t>
  </si>
  <si>
    <t>Apuesta s&amp;p</t>
  </si>
  <si>
    <t>Rappi</t>
  </si>
  <si>
    <t>Uber</t>
  </si>
  <si>
    <t>Pago de agua</t>
  </si>
  <si>
    <t>Mes</t>
  </si>
  <si>
    <t>Monto Casa</t>
  </si>
  <si>
    <t>Lo realizaste?</t>
  </si>
  <si>
    <t>Monto Retiro</t>
  </si>
  <si>
    <t>Casa Xochi=</t>
  </si>
  <si>
    <t>Total</t>
  </si>
  <si>
    <t>Monto Establecido</t>
  </si>
  <si>
    <t>Diferencia</t>
  </si>
  <si>
    <t>Agosto</t>
  </si>
  <si>
    <t>Si</t>
  </si>
  <si>
    <t>No</t>
  </si>
  <si>
    <t>Septiembre</t>
  </si>
  <si>
    <t>Octubre</t>
  </si>
  <si>
    <t>NO</t>
  </si>
  <si>
    <t>Fueron a TRADING MEXICO</t>
  </si>
  <si>
    <t>Los recupero Con el fondo de ahorro</t>
  </si>
  <si>
    <t>Noviembre</t>
  </si>
  <si>
    <t>Diciembre</t>
  </si>
  <si>
    <t>Enero</t>
  </si>
  <si>
    <t>Febrero</t>
  </si>
  <si>
    <t>Marzo</t>
  </si>
  <si>
    <t>Abril</t>
  </si>
  <si>
    <t>Mayo</t>
  </si>
  <si>
    <t>Junio</t>
  </si>
  <si>
    <t>Julio</t>
  </si>
  <si>
    <t>Inicio Vida laboral</t>
  </si>
  <si>
    <t>Fecha Actual</t>
  </si>
  <si>
    <t>(Numero de meses que llevo trabajando)</t>
  </si>
  <si>
    <t xml:space="preserve">Casa </t>
  </si>
  <si>
    <t>VIDA</t>
  </si>
  <si>
    <t>Excedente</t>
  </si>
  <si>
    <t xml:space="preserve">De vida no tendrua que ahorrar por 5 meses </t>
  </si>
  <si>
    <t>Se van a corto plazo</t>
  </si>
  <si>
    <t>Se van a mas largo plazo</t>
  </si>
  <si>
    <t>CASA</t>
  </si>
  <si>
    <t>Lo meti a una nota</t>
  </si>
  <si>
    <t xml:space="preserve">Distribucion </t>
  </si>
  <si>
    <t>Instrumento</t>
  </si>
  <si>
    <t>Titulos</t>
  </si>
  <si>
    <t>Precio compra</t>
  </si>
  <si>
    <t>Monto</t>
  </si>
  <si>
    <t>Tasa</t>
  </si>
  <si>
    <t xml:space="preserve">Valuacion </t>
  </si>
  <si>
    <t>Vencimiento</t>
  </si>
  <si>
    <t>Plataforma</t>
  </si>
  <si>
    <t>Años al vencimiento</t>
  </si>
  <si>
    <t>Concepto</t>
  </si>
  <si>
    <t>Monto bruto final</t>
  </si>
  <si>
    <t>M-Bono-270304</t>
  </si>
  <si>
    <t>Finamex</t>
  </si>
  <si>
    <t>Retiro</t>
  </si>
  <si>
    <t>Cete-240208</t>
  </si>
  <si>
    <t>Realmente son mios</t>
  </si>
  <si>
    <t>Vida</t>
  </si>
  <si>
    <t>(Estan en Finamex)</t>
  </si>
  <si>
    <t>Cete-240627</t>
  </si>
  <si>
    <t>CetedDir</t>
  </si>
  <si>
    <t>Casa</t>
  </si>
  <si>
    <t>(Estan en Cetes Directo)</t>
  </si>
  <si>
    <t>Cete-240919</t>
  </si>
  <si>
    <t>Cete-240321</t>
  </si>
  <si>
    <t>Cete-240530</t>
  </si>
  <si>
    <t>Cete-241211</t>
  </si>
  <si>
    <t>Trading US</t>
  </si>
  <si>
    <t>Proporcion</t>
  </si>
  <si>
    <t>Renta Fija</t>
  </si>
  <si>
    <t>Renta Variable</t>
  </si>
  <si>
    <t>Derivados</t>
  </si>
  <si>
    <t>Cash</t>
  </si>
  <si>
    <t>Monto Final</t>
  </si>
  <si>
    <t>Totales</t>
  </si>
  <si>
    <t>Inicio Estategia</t>
  </si>
  <si>
    <t>Inicio</t>
  </si>
  <si>
    <t>Monto de compra</t>
  </si>
  <si>
    <t>Precio actual</t>
  </si>
  <si>
    <t>Rendimiento  Actual</t>
  </si>
  <si>
    <t>Monto Valuacion</t>
  </si>
  <si>
    <t>Retorno</t>
  </si>
  <si>
    <t>Pesos</t>
  </si>
  <si>
    <t>Comentarios</t>
  </si>
  <si>
    <t>ASURB</t>
  </si>
  <si>
    <t>AXTELCPO</t>
  </si>
  <si>
    <t>Cerrar posicion y agregar CADU</t>
  </si>
  <si>
    <t>BABA</t>
  </si>
  <si>
    <t>GFNORTE</t>
  </si>
  <si>
    <t>CADU</t>
  </si>
  <si>
    <t>CEMEX</t>
  </si>
  <si>
    <t>LABB</t>
  </si>
  <si>
    <t>LIVEPOL</t>
  </si>
  <si>
    <t>MEDICA</t>
  </si>
  <si>
    <t>MEGA</t>
  </si>
  <si>
    <t>NAFTRAC</t>
  </si>
  <si>
    <t>TLEVISA</t>
  </si>
  <si>
    <t>GOOGL</t>
  </si>
  <si>
    <t>COXA</t>
  </si>
  <si>
    <t>BBVAMX</t>
  </si>
  <si>
    <t>La barrera del FX en los limites:</t>
  </si>
  <si>
    <t>Posiciones cerradas</t>
  </si>
  <si>
    <t>Fecha adquisicion</t>
  </si>
  <si>
    <t>Fecha Liquidacion</t>
  </si>
  <si>
    <t>Duracion</t>
  </si>
  <si>
    <t>Rendimiento</t>
  </si>
  <si>
    <t>Precio de venta</t>
  </si>
  <si>
    <t>Rendimiento Bruto</t>
  </si>
  <si>
    <t>Tiempo de inversion</t>
  </si>
  <si>
    <t>Rendimiento anualizado</t>
  </si>
  <si>
    <t>Montos totales</t>
  </si>
  <si>
    <t>CETES DIR</t>
  </si>
  <si>
    <t>USA</t>
  </si>
  <si>
    <t>Renta variable</t>
  </si>
  <si>
    <t>Eliseba</t>
  </si>
  <si>
    <t>Rendimiento Anualizado</t>
  </si>
  <si>
    <t>Fecha</t>
  </si>
  <si>
    <t>Real Estate</t>
  </si>
  <si>
    <t>Trading</t>
  </si>
  <si>
    <t>TRADING</t>
  </si>
  <si>
    <t>Total Equity</t>
  </si>
  <si>
    <t>Proporcion del portafolio</t>
  </si>
  <si>
    <t>Ponderacion</t>
  </si>
  <si>
    <t>Inicio de estrategia</t>
  </si>
  <si>
    <t>TICKER</t>
  </si>
  <si>
    <t>TITULOS</t>
  </si>
  <si>
    <t>COSTO</t>
  </si>
  <si>
    <t>Monto Inicial</t>
  </si>
  <si>
    <t>FX</t>
  </si>
  <si>
    <t>Precio de mercado</t>
  </si>
  <si>
    <t>Monto Actual</t>
  </si>
  <si>
    <t>Porcentaje del protafolio actual</t>
  </si>
  <si>
    <t>LIVERPOOL</t>
  </si>
  <si>
    <t>MEDICA B</t>
  </si>
  <si>
    <t>MEGA CPO</t>
  </si>
  <si>
    <t>SHV</t>
  </si>
  <si>
    <t xml:space="preserve">Totales </t>
  </si>
  <si>
    <t xml:space="preserve">RENTA FIJA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</si>
</sst>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;[Red]\-&quot;$&quot;#,##0.00"/>
    <numFmt numFmtId="165" formatCode="#,##0.00\ &quot;€&quot;"/>
    <numFmt numFmtId="166" formatCode="0.0"/>
    <numFmt numFmtId="167" formatCode="_-[$$-409]* #,##0.00_ ;_-[$$-409]* \-#,##0.00\ ;_-[$$-409]* &quot;-&quot;??_ ;_-@_ "/>
    <numFmt numFmtId="168" formatCode="0.000%"/>
    <numFmt numFmtId="169" formatCode="&quot;$&quot;#,##0.00"/>
    <numFmt numFmtId="170" formatCode="&quot;$&quot;#,##0.0000"/>
  </numFmts>
  <fonts count="21">
    <font>
      <sz val="11"/>
      <name val="Arial"/>
      <family val="2"/>
    </font>
    <font>
      <sz val="10"/>
      <name val="Arial"/>
      <family val="2"/>
    </font>
    <font>
      <sz val="10"/>
      <name val="Trebuchet MS"/>
      <family val="2"/>
      <scheme val="minor"/>
    </font>
    <font>
      <sz val="8"/>
      <name val="Trebuchet MS"/>
      <family val="2"/>
      <scheme val="minor"/>
    </font>
    <font>
      <b/>
      <sz val="8"/>
      <name val="Trebuchet MS"/>
      <family val="2"/>
      <scheme val="minor"/>
    </font>
    <font>
      <b/>
      <sz val="10"/>
      <name val="Trebuchet MS"/>
      <family val="2"/>
      <scheme val="minor"/>
    </font>
    <font>
      <b/>
      <sz val="10"/>
      <name val="Arial"/>
      <family val="2"/>
      <scheme val="major"/>
    </font>
    <font>
      <sz val="9"/>
      <name val="Arial"/>
      <family val="2"/>
      <scheme val="major"/>
    </font>
    <font>
      <sz val="6"/>
      <color theme="0"/>
      <name val="Trebuchet MS"/>
      <family val="2"/>
      <scheme val="minor"/>
    </font>
    <font>
      <b/>
      <sz val="11"/>
      <color theme="1"/>
      <name val="Trebuchet MS"/>
      <family val="2"/>
      <scheme val="minor"/>
    </font>
    <font>
      <b/>
      <sz val="10"/>
      <color theme="0"/>
      <name val="Arial"/>
      <family val="2"/>
      <scheme val="major"/>
    </font>
    <font>
      <b/>
      <sz val="9"/>
      <color theme="1"/>
      <name val="Trebuchet MS"/>
      <family val="2"/>
      <scheme val="minor"/>
    </font>
    <font>
      <sz val="18"/>
      <color theme="4"/>
      <name val="Trebuchet MS"/>
      <family val="2"/>
      <scheme val="minor"/>
    </font>
    <font>
      <sz val="1"/>
      <color theme="0"/>
      <name val="Trebuchet MS"/>
      <family val="2"/>
      <scheme val="minor"/>
    </font>
    <font>
      <sz val="26"/>
      <color theme="4"/>
      <name val="Trebuchet MS"/>
      <family val="2"/>
      <scheme val="minor"/>
    </font>
    <font>
      <sz val="8"/>
      <name val="Arial"/>
      <family val="2"/>
    </font>
    <font>
      <b/>
      <sz val="11"/>
      <name val="Arial"/>
      <family val="2"/>
    </font>
    <font>
      <sz val="10"/>
      <color rgb="FFFF0000"/>
      <name val="Trebuchet MS"/>
      <family val="2"/>
      <scheme val="minor"/>
    </font>
    <font>
      <b/>
      <sz val="11"/>
      <color theme="0"/>
      <name val="Arial"/>
      <family val="2"/>
    </font>
    <font>
      <b/>
      <i/>
      <sz val="11"/>
      <name val="Arial"/>
      <family val="2"/>
    </font>
    <font>
      <strike/>
      <sz val="11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1FFF26"/>
        <bgColor indexed="64"/>
      </patternFill>
    </fill>
  </fills>
  <borders count="13">
    <border>
      <left/>
      <right/>
      <top/>
      <bottom/>
      <diagonal/>
    </border>
    <border>
      <left style="thin">
        <color indexed="55"/>
      </left>
      <right style="thin">
        <color indexed="55"/>
      </right>
      <top/>
      <bottom style="thin">
        <color indexed="55"/>
      </bottom>
      <diagonal/>
    </border>
    <border>
      <left style="thin">
        <color indexed="55"/>
      </left>
      <right style="thin">
        <color indexed="55"/>
      </right>
      <top/>
      <bottom/>
      <diagonal/>
    </border>
    <border>
      <left style="thin">
        <color indexed="55"/>
      </left>
      <right style="thin">
        <color indexed="55"/>
      </right>
      <top style="thin">
        <color indexed="55"/>
      </top>
      <bottom/>
      <diagonal/>
    </border>
    <border>
      <left/>
      <right/>
      <top style="double">
        <color indexed="64"/>
      </top>
      <bottom/>
      <diagonal/>
    </border>
    <border>
      <left style="medium">
        <color rgb="FF000000"/>
      </left>
      <right/>
      <top style="medium">
        <color rgb="FF000000"/>
      </top>
      <bottom style="medium">
        <color rgb="FF000000"/>
      </bottom>
      <diagonal/>
    </border>
    <border>
      <left/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/>
      <top style="medium">
        <color rgb="FF000000"/>
      </top>
      <bottom style="medium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/>
      <bottom/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/>
      <right style="thin">
        <color theme="0"/>
      </right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</cellStyleXfs>
  <cellXfs count="103">
    <xf numFmtId="0" fontId="0" fillId="0" borderId="0" xfId="0"/>
    <xf numFmtId="0" fontId="2" fillId="0" borderId="0" xfId="0" applyFont="1"/>
    <xf numFmtId="0" fontId="3" fillId="0" borderId="0" xfId="0" applyFont="1"/>
    <xf numFmtId="0" fontId="4" fillId="0" borderId="0" xfId="0" applyFont="1" applyAlignment="1">
      <alignment horizontal="right"/>
    </xf>
    <xf numFmtId="0" fontId="5" fillId="0" borderId="0" xfId="0" applyFont="1"/>
    <xf numFmtId="0" fontId="2" fillId="0" borderId="0" xfId="0" applyFont="1" applyAlignment="1">
      <alignment horizontal="left"/>
    </xf>
    <xf numFmtId="4" fontId="2" fillId="0" borderId="1" xfId="1" applyNumberFormat="1" applyFont="1" applyFill="1" applyBorder="1"/>
    <xf numFmtId="43" fontId="2" fillId="0" borderId="0" xfId="1" applyFont="1" applyFill="1" applyBorder="1"/>
    <xf numFmtId="4" fontId="2" fillId="0" borderId="2" xfId="1" applyNumberFormat="1" applyFont="1" applyFill="1" applyBorder="1"/>
    <xf numFmtId="43" fontId="2" fillId="0" borderId="0" xfId="0" applyNumberFormat="1" applyFont="1"/>
    <xf numFmtId="4" fontId="2" fillId="0" borderId="3" xfId="1" applyNumberFormat="1" applyFont="1" applyFill="1" applyBorder="1"/>
    <xf numFmtId="0" fontId="2" fillId="0" borderId="0" xfId="0" applyFont="1" applyAlignment="1">
      <alignment horizontal="right"/>
    </xf>
    <xf numFmtId="4" fontId="2" fillId="0" borderId="0" xfId="0" applyNumberFormat="1" applyFont="1"/>
    <xf numFmtId="0" fontId="8" fillId="0" borderId="0" xfId="0" applyFont="1" applyAlignment="1">
      <alignment horizontal="left"/>
    </xf>
    <xf numFmtId="0" fontId="6" fillId="0" borderId="0" xfId="0" applyFont="1"/>
    <xf numFmtId="43" fontId="7" fillId="0" borderId="0" xfId="0" applyNumberFormat="1" applyFont="1" applyAlignment="1">
      <alignment horizontal="center"/>
    </xf>
    <xf numFmtId="0" fontId="7" fillId="0" borderId="0" xfId="0" applyFont="1" applyAlignment="1">
      <alignment horizontal="center"/>
    </xf>
    <xf numFmtId="0" fontId="2" fillId="0" borderId="0" xfId="0" applyFont="1" applyAlignment="1">
      <alignment horizontal="right" indent="1"/>
    </xf>
    <xf numFmtId="40" fontId="11" fillId="0" borderId="0" xfId="2" applyNumberFormat="1" applyFont="1" applyBorder="1" applyAlignment="1">
      <alignment horizontal="right" vertical="center"/>
    </xf>
    <xf numFmtId="0" fontId="10" fillId="2" borderId="0" xfId="0" applyFont="1" applyFill="1"/>
    <xf numFmtId="0" fontId="10" fillId="2" borderId="0" xfId="0" applyFont="1" applyFill="1" applyAlignment="1">
      <alignment horizontal="center"/>
    </xf>
    <xf numFmtId="0" fontId="9" fillId="0" borderId="0" xfId="0" applyFont="1" applyAlignment="1">
      <alignment horizontal="right" vertical="center"/>
    </xf>
    <xf numFmtId="0" fontId="9" fillId="3" borderId="4" xfId="0" applyFont="1" applyFill="1" applyBorder="1" applyAlignment="1">
      <alignment horizontal="right" vertical="center"/>
    </xf>
    <xf numFmtId="40" fontId="11" fillId="3" borderId="4" xfId="2" applyNumberFormat="1" applyFont="1" applyFill="1" applyBorder="1" applyAlignment="1">
      <alignment horizontal="right" vertical="center"/>
    </xf>
    <xf numFmtId="0" fontId="12" fillId="0" borderId="0" xfId="0" applyFont="1" applyAlignment="1">
      <alignment vertical="center"/>
    </xf>
    <xf numFmtId="0" fontId="13" fillId="0" borderId="0" xfId="0" applyFont="1"/>
    <xf numFmtId="164" fontId="0" fillId="0" borderId="0" xfId="0" applyNumberFormat="1"/>
    <xf numFmtId="165" fontId="0" fillId="0" borderId="0" xfId="0" applyNumberFormat="1"/>
    <xf numFmtId="0" fontId="16" fillId="4" borderId="5" xfId="0" applyFont="1" applyFill="1" applyBorder="1"/>
    <xf numFmtId="14" fontId="0" fillId="0" borderId="0" xfId="0" applyNumberFormat="1"/>
    <xf numFmtId="166" fontId="0" fillId="0" borderId="0" xfId="0" applyNumberFormat="1"/>
    <xf numFmtId="0" fontId="16" fillId="5" borderId="0" xfId="0" applyFont="1" applyFill="1" applyAlignment="1">
      <alignment horizontal="center"/>
    </xf>
    <xf numFmtId="0" fontId="16" fillId="5" borderId="5" xfId="0" applyFont="1" applyFill="1" applyBorder="1" applyAlignment="1">
      <alignment horizontal="center"/>
    </xf>
    <xf numFmtId="0" fontId="16" fillId="5" borderId="7" xfId="0" applyFont="1" applyFill="1" applyBorder="1" applyAlignment="1">
      <alignment horizontal="center"/>
    </xf>
    <xf numFmtId="0" fontId="16" fillId="5" borderId="6" xfId="0" applyFont="1" applyFill="1" applyBorder="1" applyAlignment="1">
      <alignment horizontal="center"/>
    </xf>
    <xf numFmtId="43" fontId="17" fillId="0" borderId="0" xfId="1" applyFont="1" applyFill="1" applyBorder="1"/>
    <xf numFmtId="0" fontId="0" fillId="4" borderId="0" xfId="0" applyFill="1"/>
    <xf numFmtId="0" fontId="16" fillId="6" borderId="6" xfId="0" applyFont="1" applyFill="1" applyBorder="1"/>
    <xf numFmtId="0" fontId="0" fillId="6" borderId="0" xfId="0" applyFill="1"/>
    <xf numFmtId="4" fontId="2" fillId="7" borderId="3" xfId="1" applyNumberFormat="1" applyFont="1" applyFill="1" applyBorder="1"/>
    <xf numFmtId="4" fontId="2" fillId="7" borderId="2" xfId="1" applyNumberFormat="1" applyFont="1" applyFill="1" applyBorder="1"/>
    <xf numFmtId="1" fontId="0" fillId="0" borderId="0" xfId="0" applyNumberFormat="1"/>
    <xf numFmtId="0" fontId="16" fillId="0" borderId="0" xfId="0" applyFont="1" applyAlignment="1">
      <alignment horizontal="center"/>
    </xf>
    <xf numFmtId="167" fontId="0" fillId="0" borderId="0" xfId="0" applyNumberFormat="1"/>
    <xf numFmtId="0" fontId="16" fillId="7" borderId="0" xfId="0" applyFont="1" applyFill="1" applyAlignment="1">
      <alignment horizontal="center"/>
    </xf>
    <xf numFmtId="0" fontId="16" fillId="4" borderId="8" xfId="0" applyFont="1" applyFill="1" applyBorder="1" applyAlignment="1">
      <alignment horizontal="center"/>
    </xf>
    <xf numFmtId="167" fontId="0" fillId="0" borderId="0" xfId="0" applyNumberFormat="1" applyAlignment="1">
      <alignment horizontal="center"/>
    </xf>
    <xf numFmtId="10" fontId="0" fillId="0" borderId="0" xfId="0" applyNumberFormat="1"/>
    <xf numFmtId="167" fontId="0" fillId="0" borderId="0" xfId="0" applyNumberFormat="1" applyAlignment="1">
      <alignment horizontal="center" vertical="center"/>
    </xf>
    <xf numFmtId="9" fontId="0" fillId="0" borderId="0" xfId="0" applyNumberFormat="1" applyAlignment="1">
      <alignment horizontal="center" vertical="center"/>
    </xf>
    <xf numFmtId="167" fontId="0" fillId="6" borderId="0" xfId="0" applyNumberFormat="1" applyFill="1"/>
    <xf numFmtId="4" fontId="3" fillId="0" borderId="0" xfId="0" applyNumberFormat="1" applyFont="1"/>
    <xf numFmtId="168" fontId="0" fillId="0" borderId="0" xfId="0" applyNumberFormat="1"/>
    <xf numFmtId="0" fontId="16" fillId="0" borderId="0" xfId="0" applyFont="1"/>
    <xf numFmtId="167" fontId="16" fillId="0" borderId="0" xfId="0" applyNumberFormat="1" applyFont="1" applyAlignment="1">
      <alignment horizontal="center" vertical="center"/>
    </xf>
    <xf numFmtId="169" fontId="0" fillId="0" borderId="0" xfId="0" applyNumberFormat="1"/>
    <xf numFmtId="0" fontId="0" fillId="8" borderId="9" xfId="0" applyFill="1" applyBorder="1"/>
    <xf numFmtId="0" fontId="16" fillId="8" borderId="9" xfId="0" applyFont="1" applyFill="1" applyBorder="1"/>
    <xf numFmtId="0" fontId="0" fillId="8" borderId="10" xfId="0" applyFill="1" applyBorder="1"/>
    <xf numFmtId="0" fontId="0" fillId="8" borderId="7" xfId="0" applyFill="1" applyBorder="1"/>
    <xf numFmtId="0" fontId="16" fillId="9" borderId="0" xfId="0" applyFont="1" applyFill="1"/>
    <xf numFmtId="167" fontId="16" fillId="9" borderId="0" xfId="0" applyNumberFormat="1" applyFont="1" applyFill="1" applyAlignment="1">
      <alignment horizontal="center" vertical="center"/>
    </xf>
    <xf numFmtId="14" fontId="16" fillId="0" borderId="0" xfId="0" applyNumberFormat="1" applyFont="1"/>
    <xf numFmtId="169" fontId="16" fillId="0" borderId="0" xfId="0" applyNumberFormat="1" applyFont="1"/>
    <xf numFmtId="0" fontId="0" fillId="9" borderId="0" xfId="0" applyFill="1"/>
    <xf numFmtId="0" fontId="18" fillId="9" borderId="0" xfId="0" applyFont="1" applyFill="1"/>
    <xf numFmtId="0" fontId="0" fillId="9" borderId="11" xfId="0" applyFill="1" applyBorder="1"/>
    <xf numFmtId="9" fontId="16" fillId="0" borderId="0" xfId="0" applyNumberFormat="1" applyFont="1" applyAlignment="1">
      <alignment horizontal="center"/>
    </xf>
    <xf numFmtId="169" fontId="0" fillId="4" borderId="0" xfId="0" applyNumberFormat="1" applyFill="1"/>
    <xf numFmtId="0" fontId="19" fillId="4" borderId="0" xfId="0" applyFont="1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0" fontId="0" fillId="6" borderId="0" xfId="0" applyFill="1" applyAlignment="1">
      <alignment horizontal="center"/>
    </xf>
    <xf numFmtId="169" fontId="0" fillId="0" borderId="0" xfId="0" applyNumberFormat="1" applyAlignment="1">
      <alignment horizontal="center"/>
    </xf>
    <xf numFmtId="168" fontId="0" fillId="0" borderId="0" xfId="0" applyNumberFormat="1" applyAlignment="1">
      <alignment horizontal="center"/>
    </xf>
    <xf numFmtId="10" fontId="0" fillId="0" borderId="0" xfId="0" applyNumberFormat="1" applyAlignment="1">
      <alignment horizontal="center"/>
    </xf>
    <xf numFmtId="169" fontId="16" fillId="5" borderId="0" xfId="0" applyNumberFormat="1" applyFont="1" applyFill="1" applyAlignment="1">
      <alignment horizontal="center"/>
    </xf>
    <xf numFmtId="9" fontId="16" fillId="5" borderId="0" xfId="0" applyNumberFormat="1" applyFont="1" applyFill="1" applyAlignment="1">
      <alignment horizontal="center"/>
    </xf>
    <xf numFmtId="0" fontId="16" fillId="10" borderId="8" xfId="0" applyFont="1" applyFill="1" applyBorder="1" applyAlignment="1">
      <alignment horizontal="center"/>
    </xf>
    <xf numFmtId="0" fontId="19" fillId="10" borderId="8" xfId="0" applyFont="1" applyFill="1" applyBorder="1" applyAlignment="1">
      <alignment horizontal="center"/>
    </xf>
    <xf numFmtId="0" fontId="19" fillId="10" borderId="12" xfId="0" applyFont="1" applyFill="1" applyBorder="1" applyAlignment="1">
      <alignment horizontal="center"/>
    </xf>
    <xf numFmtId="170" fontId="0" fillId="0" borderId="0" xfId="0" applyNumberFormat="1"/>
    <xf numFmtId="0" fontId="20" fillId="9" borderId="11" xfId="0" applyFont="1" applyFill="1" applyBorder="1"/>
    <xf numFmtId="0" fontId="20" fillId="0" borderId="0" xfId="0" applyFont="1"/>
    <xf numFmtId="0" fontId="20" fillId="6" borderId="0" xfId="0" applyFont="1" applyFill="1"/>
    <xf numFmtId="167" fontId="20" fillId="6" borderId="0" xfId="0" applyNumberFormat="1" applyFont="1" applyFill="1"/>
    <xf numFmtId="10" fontId="20" fillId="0" borderId="0" xfId="0" applyNumberFormat="1" applyFont="1"/>
    <xf numFmtId="167" fontId="20" fillId="0" borderId="0" xfId="0" applyNumberFormat="1" applyFont="1"/>
    <xf numFmtId="14" fontId="20" fillId="0" borderId="0" xfId="0" applyNumberFormat="1" applyFont="1"/>
    <xf numFmtId="166" fontId="20" fillId="0" borderId="0" xfId="0" applyNumberFormat="1" applyFont="1"/>
    <xf numFmtId="0" fontId="16" fillId="11" borderId="11" xfId="0" applyFont="1" applyFill="1" applyBorder="1"/>
    <xf numFmtId="0" fontId="16" fillId="11" borderId="0" xfId="0" applyFont="1" applyFill="1"/>
    <xf numFmtId="169" fontId="16" fillId="11" borderId="0" xfId="0" applyNumberFormat="1" applyFont="1" applyFill="1"/>
    <xf numFmtId="10" fontId="16" fillId="11" borderId="0" xfId="0" applyNumberFormat="1" applyFont="1" applyFill="1"/>
    <xf numFmtId="167" fontId="16" fillId="11" borderId="0" xfId="0" applyNumberFormat="1" applyFont="1" applyFill="1"/>
    <xf numFmtId="9" fontId="16" fillId="11" borderId="0" xfId="0" applyNumberFormat="1" applyFont="1" applyFill="1"/>
    <xf numFmtId="165" fontId="16" fillId="11" borderId="0" xfId="0" applyNumberFormat="1" applyFont="1" applyFill="1"/>
    <xf numFmtId="4" fontId="0" fillId="0" borderId="0" xfId="0" applyNumberFormat="1"/>
    <xf numFmtId="167" fontId="0" fillId="4" borderId="0" xfId="0" applyNumberFormat="1" applyFill="1"/>
    <xf numFmtId="9" fontId="0" fillId="4" borderId="0" xfId="0" applyNumberFormat="1" applyFill="1"/>
    <xf numFmtId="167" fontId="0" fillId="12" borderId="0" xfId="0" applyNumberFormat="1" applyFill="1"/>
    <xf numFmtId="168" fontId="16" fillId="13" borderId="0" xfId="0" applyNumberFormat="1" applyFont="1" applyFill="1" applyAlignment="1">
      <alignment horizontal="center"/>
    </xf>
    <xf numFmtId="0" fontId="14" fillId="0" borderId="0" xfId="0" applyFont="1" applyAlignment="1">
      <alignment horizontal="center" vertical="center"/>
    </xf>
  </cellXfs>
  <cellStyles count="3">
    <cellStyle name="Millares" xfId="1" builtinId="3"/>
    <cellStyle name="Moneda" xfId="2" builtinId="4"/>
    <cellStyle name="Normal" xfId="0" builtinId="0" customBuiltin="1"/>
  </cellStyles>
  <dxfs count="91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outline="0">
        <top style="thin">
          <color rgb="FFB2B2B2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rgb="FF666666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none"/>
      </font>
      <fill>
        <patternFill patternType="none">
          <fgColor rgb="FF000000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outline="0">
        <top style="thin">
          <color indexed="55"/>
        </top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35" formatCode="_(* #,##0.00_);_(* \(#,##0.00\);_(* &quot;-&quot;??_);_(@_)"/>
      <fill>
        <patternFill patternType="none">
          <fgColor indexed="64"/>
          <bgColor auto="1"/>
        </patternFill>
      </fill>
      <border outline="0">
        <left style="thin">
          <color indexed="55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 outline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numFmt numFmtId="4" formatCode="#,##0.00"/>
      <fill>
        <patternFill patternType="none">
          <fgColor indexed="64"/>
          <bgColor auto="1"/>
        </patternFill>
      </fill>
      <border diagonalUp="0" diagonalDown="0">
        <left style="thin">
          <color indexed="55"/>
        </left>
        <right style="thin">
          <color indexed="55"/>
        </right>
        <top/>
        <bottom style="thin">
          <color indexed="5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scheme val="minor"/>
      </font>
      <fill>
        <patternFill patternType="none">
          <fgColor indexed="64"/>
          <bgColor indexed="65"/>
        </patternFill>
      </fill>
      <border outline="0">
        <right style="thin">
          <color indexed="55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35" formatCode="_(* #,##0.00_);_(* \(#,##0.00\);_(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Trebuchet MS"/>
        <family val="2"/>
        <scheme val="minor"/>
      </font>
      <alignment horizontal="right" vertical="bottom" textRotation="0" wrapText="0" indent="1" justifyLastLine="0" shrinkToFit="0" readingOrder="0"/>
    </dxf>
    <dxf>
      <border outline="0">
        <bottom style="medium">
          <color indexed="23"/>
        </bottom>
      </border>
    </dxf>
    <dxf>
      <border diagonalUp="0" diagonalDown="0">
        <left/>
        <right/>
        <top/>
        <bottom/>
      </border>
    </dxf>
    <dxf>
      <font>
        <strike val="0"/>
        <outline val="0"/>
        <shadow val="0"/>
        <u val="none"/>
        <vertAlign val="baseline"/>
        <color auto="1"/>
        <name val="Trebuchet MS"/>
        <scheme val="minor"/>
      </font>
      <fill>
        <patternFill patternType="none">
          <fgColor indexed="64"/>
          <bgColor auto="1"/>
        </patternFill>
      </fill>
    </dxf>
    <dxf>
      <font>
        <strike val="0"/>
        <outline val="0"/>
        <shadow val="0"/>
        <u val="none"/>
        <vertAlign val="baseline"/>
        <color auto="1"/>
        <name val="Arial"/>
        <scheme val="major"/>
      </font>
      <fill>
        <patternFill patternType="none">
          <fgColor indexed="64"/>
          <bgColor auto="1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0"/>
      </font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6"/>
        </top>
        <bottom/>
        <vertical/>
        <horizontal/>
      </border>
    </dxf>
    <dxf>
      <font>
        <b/>
        <color theme="0"/>
      </font>
      <fill>
        <patternFill patternType="solid">
          <fgColor theme="6"/>
          <bgColor theme="6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</dxf>
    <dxf>
      <font>
        <b/>
        <color theme="1"/>
      </font>
      <fill>
        <patternFill>
          <bgColor theme="0" tint="-4.9989318521683403E-2"/>
        </patternFill>
      </fill>
      <border diagonalUp="0" diagonalDown="0">
        <left/>
        <right/>
        <top style="double">
          <color theme="4"/>
        </top>
        <bottom/>
        <vertical/>
        <horizontal/>
      </border>
    </dxf>
    <dxf>
      <font>
        <b/>
        <color theme="0"/>
      </font>
      <fill>
        <patternFill patternType="solid">
          <fgColor auto="1"/>
          <bgColor theme="4"/>
        </patternFill>
      </fill>
      <border>
        <bottom style="thin">
          <color theme="0" tint="-0.24994659260841701"/>
        </bottom>
      </border>
    </dxf>
    <dxf>
      <font>
        <color theme="1"/>
      </font>
      <border>
        <left/>
        <right/>
        <top/>
        <bottom/>
      </border>
    </dxf>
  </dxfs>
  <tableStyles count="2" defaultTableStyle="TableStyleMedium2" defaultPivotStyle="PivotStyleLight16">
    <tableStyle name="V42_ExpenseTable" pivot="0" count="5" xr9:uid="{00000000-0011-0000-FFFF-FFFF00000000}">
      <tableStyleElement type="wholeTable" dxfId="913"/>
      <tableStyleElement type="headerRow" dxfId="912"/>
      <tableStyleElement type="totalRow" dxfId="911"/>
      <tableStyleElement type="firstColumn" dxfId="910"/>
      <tableStyleElement type="lastColumn" dxfId="909"/>
    </tableStyle>
    <tableStyle name="V42_IncomeTable" pivot="0" count="5" xr9:uid="{00000000-0011-0000-FFFF-FFFF01000000}">
      <tableStyleElement type="wholeTable" dxfId="908"/>
      <tableStyleElement type="headerRow" dxfId="907"/>
      <tableStyleElement type="totalRow" dxfId="906"/>
      <tableStyleElement type="firstColumn" dxfId="905"/>
      <tableStyleElement type="lastColumn" dxfId="904"/>
    </tableStyle>
  </tableStyles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5FF25F"/>
      <rgbColor rgb="000000FF"/>
      <rgbColor rgb="00FFFF00"/>
      <rgbColor rgb="00DE3018"/>
      <rgbColor rgb="0053D4C9"/>
      <rgbColor rgb="006B0C00"/>
      <rgbColor rgb="00006500"/>
      <rgbColor rgb="00182C63"/>
      <rgbColor rgb="00819C00"/>
      <rgbColor rgb="00C9B783"/>
      <rgbColor rgb="00007F74"/>
      <rgbColor rgb="00F4F4F4"/>
      <rgbColor rgb="00666666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799FC4"/>
      <rgbColor rgb="00C1F1ED"/>
      <rgbColor rgb="00D6F4D9"/>
      <rgbColor rgb="00FFFFCC"/>
      <rgbColor rgb="00C9DAFB"/>
      <rgbColor rgb="00FAC8D7"/>
      <rgbColor rgb="00F3F0E4"/>
      <rgbColor rgb="00E4E8F3"/>
      <rgbColor rgb="001849B5"/>
      <rgbColor rgb="0036ACA2"/>
      <rgbColor rgb="00F0BA00"/>
      <rgbColor rgb="00BCC5E1"/>
      <rgbColor rgb="008394C9"/>
      <rgbColor rgb="003B4E87"/>
      <rgbColor rgb="0087743B"/>
      <rgbColor rgb="00B2B2B2"/>
      <rgbColor rgb="00003366"/>
      <rgbColor rgb="00109618"/>
      <rgbColor rgb="00085108"/>
      <rgbColor rgb="00635100"/>
      <rgbColor rgb="00273359"/>
      <rgbColor rgb="00E1D8BC"/>
      <rgbColor rgb="00594C27"/>
      <rgbColor rgb="00333333"/>
    </indexedColors>
    <mruColors>
      <color rgb="FF1FFF2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17/10/relationships/person" Target="persons/perso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47625</xdr:rowOff>
    </xdr:from>
    <xdr:to>
      <xdr:col>11</xdr:col>
      <xdr:colOff>311150</xdr:colOff>
      <xdr:row>1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53B90BC-8CB8-4E27-B910-ED08622713C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W5hbWV4LW15LnNoYXJlcG9pbnQuY29tLzp1Oi9nL3BlcnNvbmFsL2Z2ZmVudGFuZXNfZmluYW1leF9jb21fbXgvRVdXN0hFajZnajFHb08wTF9nSlMzX3dCSjl3Q3A1RW1GdFpCaXpOVGExcUtTUQ&quot;}"/>
            </a:ext>
          </a:extLst>
        </xdr:cNvPr>
        <xdr:cNvSpPr/>
      </xdr:nvSpPr>
      <xdr:spPr>
        <a:xfrm>
          <a:off x="9020175" y="47625"/>
          <a:ext cx="787400" cy="292100"/>
        </a:xfrm>
        <a:prstGeom prst="roundRect">
          <a:avLst/>
        </a:prstGeom>
        <a:solidFill>
          <a:srgbClr val="107C41"/>
        </a:solidFill>
        <a:ln w="25400" cap="flat" cmpd="sng" algn="ctr">
          <a:solidFill>
            <a:schemeClr val="accent1">
              <a:shade val="15000"/>
            </a:schemeClr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/>
            <a:t>Borrar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47625</xdr:rowOff>
    </xdr:from>
    <xdr:to>
      <xdr:col>11</xdr:col>
      <xdr:colOff>311150</xdr:colOff>
      <xdr:row>1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DAEE9D7E-CAA5-4CFA-B5AF-4DD46401F945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W5hbWV4LW15LnNoYXJlcG9pbnQuY29tLzp1Oi9nL3BlcnNvbmFsL2Z2ZmVudGFuZXNfZmluYW1leF9jb21fbXgvRVdXN0hFajZnajFHb08wTF9nSlMzX3dCSjl3Q3A1RW1GdFpCaXpOVGExcUtTUQ&quot;}"/>
            </a:ext>
          </a:extLst>
        </xdr:cNvPr>
        <xdr:cNvSpPr/>
      </xdr:nvSpPr>
      <xdr:spPr>
        <a:xfrm>
          <a:off x="9020175" y="47625"/>
          <a:ext cx="787400" cy="292100"/>
        </a:xfrm>
        <a:prstGeom prst="roundRect">
          <a:avLst/>
        </a:prstGeom>
        <a:solidFill>
          <a:srgbClr val="107C41"/>
        </a:solidFill>
        <a:ln w="25400" cap="flat" cmpd="sng" algn="ctr">
          <a:solidFill>
            <a:schemeClr val="accent1">
              <a:shade val="15000"/>
            </a:schemeClr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/>
            <a:t>Borrar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47625</xdr:rowOff>
    </xdr:from>
    <xdr:to>
      <xdr:col>11</xdr:col>
      <xdr:colOff>311150</xdr:colOff>
      <xdr:row>1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7318742-8A29-4914-BDC5-C399757B0C1E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W5hbWV4LW15LnNoYXJlcG9pbnQuY29tLzp1Oi9nL3BlcnNvbmFsL2Z2ZmVudGFuZXNfZmluYW1leF9jb21fbXgvRVdXN0hFajZnajFHb08wTF9nSlMzX3dCSjl3Q3A1RW1GdFpCaXpOVGExcUtTUQ&quot;}"/>
            </a:ext>
          </a:extLst>
        </xdr:cNvPr>
        <xdr:cNvSpPr/>
      </xdr:nvSpPr>
      <xdr:spPr>
        <a:xfrm>
          <a:off x="9020175" y="47625"/>
          <a:ext cx="787400" cy="292100"/>
        </a:xfrm>
        <a:prstGeom prst="roundRect">
          <a:avLst/>
        </a:prstGeom>
        <a:solidFill>
          <a:srgbClr val="107C41"/>
        </a:solidFill>
        <a:ln w="25400" cap="flat" cmpd="sng" algn="ctr">
          <a:solidFill>
            <a:schemeClr val="accent1">
              <a:shade val="15000"/>
            </a:schemeClr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/>
            <a:t>Borrar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209550</xdr:colOff>
      <xdr:row>0</xdr:row>
      <xdr:rowOff>47625</xdr:rowOff>
    </xdr:from>
    <xdr:to>
      <xdr:col>11</xdr:col>
      <xdr:colOff>311150</xdr:colOff>
      <xdr:row>1</xdr:row>
      <xdr:rowOff>15875</xdr:rowOff>
    </xdr:to>
    <xdr:sp macro="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A0658756-22FB-4468-A619-558A30639193}"/>
            </a:ext>
            <a:ext uri="{6ECC49D1-AA05-4338-93AA-15A1B29DFB0A}">
              <asl:scriptLink xmlns:asl="http://schemas.microsoft.com/office/drawing/2021/scriptlink" val="{&quot;shareId&quot;:&quot;ms-officescript%3A%2F%2Fonedrive_business_sharinglink%2Fu!aHR0cHM6Ly9maW5hbWV4LW15LnNoYXJlcG9pbnQuY29tLzp1Oi9nL3BlcnNvbmFsL2Z2ZmVudGFuZXNfZmluYW1leF9jb21fbXgvRVdXN0hFajZnajFHb08wTF9nSlMzX3dCSjl3Q3A1RW1GdFpCaXpOVGExcUtTUQ&quot;}"/>
            </a:ext>
          </a:extLst>
        </xdr:cNvPr>
        <xdr:cNvSpPr/>
      </xdr:nvSpPr>
      <xdr:spPr>
        <a:xfrm>
          <a:off x="9020175" y="47625"/>
          <a:ext cx="787400" cy="292100"/>
        </a:xfrm>
        <a:prstGeom prst="roundRect">
          <a:avLst/>
        </a:prstGeom>
        <a:solidFill>
          <a:srgbClr val="107C41"/>
        </a:solidFill>
        <a:ln w="25400" cap="flat" cmpd="sng" algn="ctr">
          <a:solidFill>
            <a:schemeClr val="accent1">
              <a:shade val="15000"/>
            </a:schemeClr>
          </a:solidFill>
          <a:prstDash val="solid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MX"/>
            <a:t>Borrar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Francisco Javier Vargas Fentanes" id="{EE5A7884-1CD5-4E44-8CFC-2857E2232D92}" userId="S::fvfentanes@finamex.com.mx::169905d3-5917-40ba-8d1d-5fb8e3e9e6f9" providerId="AD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4:D13" totalsRowCount="1" headerRowDxfId="901" dataDxfId="900" headerRowBorderDxfId="898" tableBorderDxfId="899">
  <tableColumns count="4">
    <tableColumn id="1" xr3:uid="{00000000-0010-0000-0000-000001000000}" name="INCOME" totalsRowFunction="custom" totalsRowDxfId="897">
      <totalsRowFormula>"Total " &amp; Table2[[#Headers],[INCOME]]</totalsRowFormula>
    </tableColumn>
    <tableColumn id="2" xr3:uid="{00000000-0010-0000-0000-000002000000}" name="Budget" totalsRowFunction="custom" totalsRowDxfId="896">
      <totalsRowFormula>SUBTOTAL(9,Table2[Budget])</totalsRowFormula>
    </tableColumn>
    <tableColumn id="3" xr3:uid="{00000000-0010-0000-0000-000003000000}" name="Actual" totalsRowFunction="custom" totalsRowDxfId="895">
      <totalsRowFormula>SUBTOTAL(9,Table2[Actual])</totalsRowFormula>
    </tableColumn>
    <tableColumn id="4" xr3:uid="{00000000-0010-0000-0000-000004000000}" name="Difference" totalsRowFunction="custom" totalsRowDxfId="894">
      <calculatedColumnFormula>C5-B5</calculatedColumnFormula>
      <totalsRowFormula>SUBTOTAL(9,Table2[Difference])</totalsRowFormula>
    </tableColumn>
  </tableColumns>
  <tableStyleInfo name="V42_IncomeTable" showFirstColumn="0" showLastColumn="1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5" displayName="Table5" ref="A15:D29" totalsRowCount="1" headerRowDxfId="893" dataDxfId="892" headerRowBorderDxfId="890" tableBorderDxfId="891">
  <tableColumns count="4">
    <tableColumn id="1" xr3:uid="{00000000-0010-0000-0100-000001000000}" name="Gastos Vivienda" totalsRowFunction="custom" dataDxfId="888" totalsRowDxfId="889">
      <totalsRowFormula>"Total " &amp; Table5[[#Headers],[Gastos Vivienda]]</totalsRowFormula>
    </tableColumn>
    <tableColumn id="2" xr3:uid="{00000000-0010-0000-0100-000002000000}" name="Budget" totalsRowFunction="custom" dataDxfId="886" totalsRowDxfId="887">
      <totalsRowFormula>SUBTOTAL(9,Table5[Budget])</totalsRowFormula>
    </tableColumn>
    <tableColumn id="3" xr3:uid="{00000000-0010-0000-0100-000003000000}" name="Actual" totalsRowFunction="custom" dataDxfId="884" totalsRowDxfId="885">
      <totalsRowFormula>SUBTOTAL(9,Table5[Actual])</totalsRowFormula>
    </tableColumn>
    <tableColumn id="4" xr3:uid="{00000000-0010-0000-0100-000004000000}" name="Difference" totalsRowFunction="custom" dataDxfId="882" totalsRowDxfId="883">
      <calculatedColumnFormula>B16-C16</calculatedColumnFormula>
      <totalsRowFormula>SUBTOTAL(9,Table5[Difference])</totalsRowFormula>
    </tableColumn>
  </tableColumns>
  <tableStyleInfo name="V42_ExpenseTable" showFirstColumn="0" showLastColumn="1" showRowStripes="0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2000000}" name="Table6" displayName="Table6" ref="F10:I21" totalsRowCount="1" headerRowDxfId="881" dataDxfId="880" headerRowBorderDxfId="878" tableBorderDxfId="879">
  <tableColumns count="4">
    <tableColumn id="1" xr3:uid="{00000000-0010-0000-0200-000001000000}" name="DAILY LIVING" totalsRowFunction="custom" dataDxfId="876" totalsRowDxfId="877">
      <totalsRowFormula>"Total " &amp; Table6[[#Headers],[DAILY LIVING]]</totalsRowFormula>
    </tableColumn>
    <tableColumn id="2" xr3:uid="{00000000-0010-0000-0200-000002000000}" name="Budget" totalsRowFunction="custom" dataDxfId="874" totalsRowDxfId="875">
      <totalsRowFormula>SUBTOTAL(9,Table6[Budget])</totalsRowFormula>
    </tableColumn>
    <tableColumn id="3" xr3:uid="{00000000-0010-0000-0200-000003000000}" name="Actual" totalsRowFunction="custom" dataDxfId="872" totalsRowDxfId="873">
      <totalsRowFormula>SUBTOTAL(9,Table6[Actual])</totalsRowFormula>
    </tableColumn>
    <tableColumn id="4" xr3:uid="{00000000-0010-0000-0200-000004000000}" name="Difference" totalsRowFunction="custom" dataDxfId="870" totalsRowDxfId="871">
      <calculatedColumnFormula>G11-H11</calculatedColumnFormula>
      <totalsRowFormula>SUBTOTAL(9,Table6[Difference])</totalsRowFormula>
    </tableColumn>
  </tableColumns>
  <tableStyleInfo name="V42_ExpenseTable" showFirstColumn="0" showLastColumn="1" showRowStripes="0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3000000}" name="Table7" displayName="Table7" ref="F23:I35" totalsRowCount="1" headerRowDxfId="869" dataDxfId="868" headerRowBorderDxfId="866" tableBorderDxfId="867">
  <tableColumns count="4">
    <tableColumn id="1" xr3:uid="{00000000-0010-0000-0300-000001000000}" name="Diversion " totalsRowFunction="custom" dataDxfId="864" totalsRowDxfId="865">
      <totalsRowFormula>"Total " &amp; Table7[[#Headers],[Diversion ]]</totalsRowFormula>
    </tableColumn>
    <tableColumn id="2" xr3:uid="{00000000-0010-0000-0300-000002000000}" name="Budget" totalsRowFunction="custom" dataDxfId="862" totalsRowDxfId="863">
      <totalsRowFormula>SUBTOTAL(9,Table7[Budget])</totalsRowFormula>
    </tableColumn>
    <tableColumn id="3" xr3:uid="{00000000-0010-0000-0300-000003000000}" name="Actual" totalsRowFunction="custom" dataDxfId="860" totalsRowDxfId="861">
      <totalsRowFormula>SUBTOTAL(9,Table7[Actual])</totalsRowFormula>
    </tableColumn>
    <tableColumn id="4" xr3:uid="{00000000-0010-0000-0300-000004000000}" name="Difference" totalsRowFunction="custom" dataDxfId="858" totalsRowDxfId="859">
      <calculatedColumnFormula>G24-H24</calculatedColumnFormula>
      <totalsRowFormula>SUBTOTAL(9,Table7[Difference])</totalsRowFormula>
    </tableColumn>
  </tableColumns>
  <tableStyleInfo name="V42_ExpenseTable" showFirstColumn="0" showLastColumn="1" showRowStripes="0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4000000}" name="Table8" displayName="Table8" ref="F37:I45" totalsRowCount="1" headerRowDxfId="857" dataDxfId="856" headerRowBorderDxfId="854" tableBorderDxfId="855">
  <tableColumns count="4">
    <tableColumn id="1" xr3:uid="{00000000-0010-0000-0400-000001000000}" name="Ahorros" totalsRowFunction="custom" dataDxfId="852" totalsRowDxfId="853">
      <totalsRowFormula>"Total " &amp; Table8[[#Headers],[Ahorros]]</totalsRowFormula>
    </tableColumn>
    <tableColumn id="2" xr3:uid="{00000000-0010-0000-0400-000002000000}" name="Budget" totalsRowFunction="custom" dataDxfId="850" totalsRowDxfId="851">
      <totalsRowFormula>SUBTOTAL(9,Table8[Budget])</totalsRowFormula>
    </tableColumn>
    <tableColumn id="3" xr3:uid="{00000000-0010-0000-0400-000003000000}" name="Actual" totalsRowFunction="custom" dataDxfId="848" totalsRowDxfId="849">
      <totalsRowFormula>SUBTOTAL(9,Table8[Actual])</totalsRowFormula>
    </tableColumn>
    <tableColumn id="4" xr3:uid="{00000000-0010-0000-0400-000004000000}" name="Difference" totalsRowFunction="custom" dataDxfId="846" totalsRowDxfId="847">
      <calculatedColumnFormula>G38-H38</calculatedColumnFormula>
      <totalsRowFormula>SUBTOTAL(9,Table8[Difference])</totalsRowFormula>
    </tableColumn>
  </tableColumns>
  <tableStyleInfo name="V42_ExpenseTable" showFirstColumn="0" showLastColumn="1" showRowStripes="0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00000000-000C-0000-FFFF-FFFF05000000}" name="Table10" displayName="Table10" ref="F47:I56" totalsRowCount="1" headerRowDxfId="845" dataDxfId="844" headerRowBorderDxfId="843">
  <tableColumns count="4">
    <tableColumn id="1" xr3:uid="{00000000-0010-0000-0500-000001000000}" name="Oblgiaciones " totalsRowFunction="custom" dataDxfId="841" totalsRowDxfId="842">
      <totalsRowFormula>"Total " &amp; Table10[[#Headers],[Oblgiaciones ]]</totalsRowFormula>
    </tableColumn>
    <tableColumn id="2" xr3:uid="{00000000-0010-0000-0500-000002000000}" name="Budget" totalsRowFunction="custom" dataDxfId="839" totalsRowDxfId="840">
      <totalsRowFormula>SUBTOTAL(9,Table10[Budget])</totalsRowFormula>
    </tableColumn>
    <tableColumn id="3" xr3:uid="{00000000-0010-0000-0500-000003000000}" name="Actual" totalsRowFunction="custom" dataDxfId="837" totalsRowDxfId="838">
      <totalsRowFormula>SUBTOTAL(9,Table10[Actual])</totalsRowFormula>
    </tableColumn>
    <tableColumn id="4" xr3:uid="{00000000-0010-0000-0500-000004000000}" name="Difference" totalsRowFunction="custom" dataDxfId="835" totalsRowDxfId="836">
      <calculatedColumnFormula>G48-H48</calculatedColumnFormula>
      <totalsRowFormula>SUBTOTAL(9,Table10[Difference])</totalsRowFormula>
    </tableColumn>
  </tableColumns>
  <tableStyleInfo name="V42_ExpenseTable" showFirstColumn="0" showLastColumn="1" showRowStripes="0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000000-000C-0000-FFFF-FFFF06000000}" name="Table14" displayName="Table14" ref="F58:I63" totalsRowCount="1" headerRowDxfId="834" dataDxfId="833" headerRowBorderDxfId="831" tableBorderDxfId="832">
  <tableColumns count="4">
    <tableColumn id="1" xr3:uid="{00000000-0010-0000-0600-000001000000}" name="Misc" totalsRowFunction="custom" dataDxfId="829" totalsRowDxfId="830">
      <totalsRowFormula>"Total " &amp; Table14[[#Headers],[Misc]]</totalsRowFormula>
    </tableColumn>
    <tableColumn id="2" xr3:uid="{00000000-0010-0000-0600-000002000000}" name="Budget" totalsRowFunction="custom" dataDxfId="827" totalsRowDxfId="828">
      <totalsRowFormula>SUBTOTAL(9,Table14[Budget])</totalsRowFormula>
    </tableColumn>
    <tableColumn id="3" xr3:uid="{00000000-0010-0000-0600-000003000000}" name="Actual" totalsRowFunction="custom" dataDxfId="825" totalsRowDxfId="826">
      <totalsRowFormula>SUBTOTAL(9,Table14[Actual])</totalsRowFormula>
    </tableColumn>
    <tableColumn id="4" xr3:uid="{00000000-0010-0000-0600-000004000000}" name="Difference" totalsRowFunction="custom" dataDxfId="823" totalsRowDxfId="824">
      <calculatedColumnFormula>G59-H59</calculatedColumnFormula>
      <totalsRowFormula>SUBTOTAL(9,Table14[Difference])</totalsRowFormula>
    </tableColumn>
  </tableColumns>
  <tableStyleInfo name="V42_ExpenseTable" showFirstColumn="0" showLastColumn="1" showRowStripes="0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000000-000C-0000-FFFF-FFFF07000000}" name="Table15" displayName="Table15" ref="A58:D63" totalsRowCount="1" headerRowDxfId="822" dataDxfId="821" headerRowBorderDxfId="819" tableBorderDxfId="820">
  <tableColumns count="4">
    <tableColumn id="1" xr3:uid="{00000000-0010-0000-0700-000001000000}" name="Subscrpciones" totalsRowFunction="custom" dataDxfId="817" totalsRowDxfId="818">
      <totalsRowFormula>"Total " &amp; Table15[[#Headers],[Subscrpciones]]</totalsRowFormula>
    </tableColumn>
    <tableColumn id="2" xr3:uid="{00000000-0010-0000-0700-000002000000}" name="Budget" totalsRowFunction="custom" dataDxfId="815" totalsRowDxfId="816">
      <totalsRowFormula>SUBTOTAL(9,Table15[Budget])</totalsRowFormula>
    </tableColumn>
    <tableColumn id="3" xr3:uid="{00000000-0010-0000-0700-000003000000}" name="Actual" totalsRowFunction="custom" dataDxfId="813" totalsRowDxfId="814">
      <totalsRowFormula>SUBTOTAL(9,Table15[Actual])</totalsRowFormula>
    </tableColumn>
    <tableColumn id="4" xr3:uid="{00000000-0010-0000-0700-000004000000}" name="Difference" totalsRowFunction="custom" dataDxfId="811" totalsRowDxfId="812">
      <calculatedColumnFormula>B59-C59</calculatedColumnFormula>
      <totalsRowFormula>SUBTOTAL(9,Table15[Difference])</totalsRowFormula>
    </tableColumn>
  </tableColumns>
  <tableStyleInfo name="V42_ExpenseTable" showFirstColumn="0" showLastColumn="1" showRowStripes="0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00000000-000C-0000-FFFF-FFFF08000000}" name="Table19" displayName="Table19" ref="A51:D56" totalsRowCount="1" headerRowDxfId="810" dataDxfId="809" headerRowBorderDxfId="807" tableBorderDxfId="808">
  <tableColumns count="4">
    <tableColumn id="1" xr3:uid="{00000000-0010-0000-0800-000001000000}" name="CHARITY/GIFTS" totalsRowFunction="custom" dataDxfId="805" totalsRowDxfId="806">
      <totalsRowFormula>"Total " &amp; Table19[[#Headers],[CHARITY/GIFTS]]</totalsRowFormula>
    </tableColumn>
    <tableColumn id="2" xr3:uid="{00000000-0010-0000-0800-000002000000}" name="Budget" totalsRowFunction="custom" dataDxfId="803" totalsRowDxfId="804">
      <totalsRowFormula>SUBTOTAL(9,Table19[Budget])</totalsRowFormula>
    </tableColumn>
    <tableColumn id="3" xr3:uid="{00000000-0010-0000-0800-000003000000}" name="Actual" totalsRowFunction="custom" dataDxfId="801" totalsRowDxfId="802">
      <totalsRowFormula>SUBTOTAL(9,Table19[Actual])</totalsRowFormula>
    </tableColumn>
    <tableColumn id="4" xr3:uid="{00000000-0010-0000-0800-000004000000}" name="Difference" totalsRowFunction="custom" dataDxfId="799" totalsRowDxfId="800">
      <calculatedColumnFormula>B52-C52</calculatedColumnFormula>
      <totalsRowFormula>SUBTOTAL(9,Table19[Difference])</totalsRowFormula>
    </tableColumn>
  </tableColumns>
  <tableStyleInfo name="V42_ExpenseTable" showFirstColumn="0" showLastColumn="1" showRowStripes="0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0000000-000C-0000-FFFF-FFFF09000000}" name="Table20" displayName="Table20" ref="A31:D39" totalsRowCount="1" headerRowDxfId="798" dataDxfId="797" headerRowBorderDxfId="795" tableBorderDxfId="796">
  <tableColumns count="4">
    <tableColumn id="1" xr3:uid="{00000000-0010-0000-0900-000001000000}" name="Transporte" totalsRowFunction="custom" dataDxfId="793" totalsRowDxfId="794">
      <totalsRowFormula>"Total " &amp; Table20[[#Headers],[Transporte]]</totalsRowFormula>
    </tableColumn>
    <tableColumn id="2" xr3:uid="{00000000-0010-0000-0900-000002000000}" name="Budget" totalsRowFunction="custom" dataDxfId="791" totalsRowDxfId="792">
      <totalsRowFormula>SUBTOTAL(9,Table20[Budget])</totalsRowFormula>
    </tableColumn>
    <tableColumn id="3" xr3:uid="{00000000-0010-0000-0900-000003000000}" name="Actual" totalsRowFunction="custom" dataDxfId="789" totalsRowDxfId="790">
      <totalsRowFormula>SUBTOTAL(9,Table20[Actual])</totalsRowFormula>
    </tableColumn>
    <tableColumn id="4" xr3:uid="{00000000-0010-0000-0900-000004000000}" name="Difference" totalsRowFunction="custom" dataDxfId="787" totalsRowDxfId="788">
      <calculatedColumnFormula>B32-C32</calculatedColumnFormula>
      <totalsRowFormula>SUBTOTAL(9,Table20[Difference])</totalsRowFormula>
    </tableColumn>
  </tableColumns>
  <tableStyleInfo name="V42_ExpenseTable" showFirstColumn="0" showLastColumn="1" showRowStripes="0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00000000-000C-0000-FFFF-FFFF0A000000}" name="Table21" displayName="Table21" ref="A41:D49" totalsRowCount="1" headerRowDxfId="786" dataDxfId="785" headerRowBorderDxfId="783" tableBorderDxfId="784">
  <tableColumns count="4">
    <tableColumn id="1" xr3:uid="{00000000-0010-0000-0A00-000001000000}" name="Salud" totalsRowFunction="custom" dataDxfId="781" totalsRowDxfId="782">
      <totalsRowFormula>"Total " &amp; Table21[[#Headers],[Salud]]</totalsRowFormula>
    </tableColumn>
    <tableColumn id="2" xr3:uid="{00000000-0010-0000-0A00-000002000000}" name="Budget" totalsRowFunction="custom" dataDxfId="779" totalsRowDxfId="780">
      <totalsRowFormula>SUBTOTAL(9,Table21[Budget])</totalsRowFormula>
    </tableColumn>
    <tableColumn id="3" xr3:uid="{00000000-0010-0000-0A00-000003000000}" name="Actual" totalsRowFunction="custom" dataDxfId="777" totalsRowDxfId="778">
      <totalsRowFormula>SUBTOTAL(9,Table21[Actual])</totalsRowFormula>
    </tableColumn>
    <tableColumn id="4" xr3:uid="{00000000-0010-0000-0A00-000004000000}" name="Difference" totalsRowFunction="custom" dataDxfId="775" totalsRowDxfId="776">
      <calculatedColumnFormula>B42-C42</calculatedColumnFormula>
      <totalsRowFormula>SUBTOTAL(9,Table21[Difference])</totalsRowFormula>
    </tableColumn>
  </tableColumns>
  <tableStyleInfo name="V42_ExpenseTable" showFirstColumn="0" showLastColumn="1" showRowStripes="0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C1FBA5C-AA13-4328-BE44-5871293A0DC2}" name="Table22" displayName="Table22" ref="A4:D13" totalsRowCount="1" headerRowDxfId="772" dataDxfId="771" headerRowBorderDxfId="769" tableBorderDxfId="770">
  <tableColumns count="4">
    <tableColumn id="1" xr3:uid="{48C721FB-A039-498A-ABBB-8C6AA4ABF25B}" name="INCOME" totalsRowFunction="custom" totalsRowDxfId="768">
      <totalsRowFormula>"Total " &amp; Table22[[#Headers],[INCOME]]</totalsRowFormula>
    </tableColumn>
    <tableColumn id="2" xr3:uid="{FDB888AF-4B7A-43E9-9EB2-9DE2E85650D7}" name="Budget" totalsRowFunction="custom" totalsRowDxfId="767">
      <totalsRowFormula>SUBTOTAL(9,Table22[Budget])</totalsRowFormula>
    </tableColumn>
    <tableColumn id="3" xr3:uid="{24721597-6A9B-4BB1-BC31-1BE0F5B04FB4}" name="Actual" totalsRowFunction="custom" totalsRowDxfId="766">
      <totalsRowFormula>SUBTOTAL(9,Table22[Actual])</totalsRowFormula>
    </tableColumn>
    <tableColumn id="4" xr3:uid="{93FE3576-202F-4153-BA4B-E4CCAF94BEB8}" name="Difference" totalsRowFunction="custom" totalsRowDxfId="765">
      <calculatedColumnFormula>C5-B5</calculatedColumnFormula>
      <totalsRowFormula>SUBTOTAL(9,Table22[Difference])</totalsRowFormula>
    </tableColumn>
  </tableColumns>
  <tableStyleInfo name="V42_IncomeTable" showFirstColumn="0" showLastColumn="1" showRowStripes="0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2438CF8B-0630-497B-8F18-0B4005A073FE}" name="Table54" displayName="Table54" ref="A15:D29" totalsRowCount="1" headerRowDxfId="764" dataDxfId="763" headerRowBorderDxfId="761" tableBorderDxfId="762">
  <tableColumns count="4">
    <tableColumn id="1" xr3:uid="{2926DD23-C103-4F76-8469-303A2FFF6944}" name="Gastos Vivienda" totalsRowFunction="custom" dataDxfId="759" totalsRowDxfId="760">
      <totalsRowFormula>"Total " &amp; Table54[[#Headers],[Gastos Vivienda]]</totalsRowFormula>
    </tableColumn>
    <tableColumn id="2" xr3:uid="{1DACF25E-815A-472E-8896-A1CCA98228CB}" name="Budget" totalsRowFunction="custom" dataDxfId="757" totalsRowDxfId="758">
      <totalsRowFormula>SUBTOTAL(9,Table54[Budget])</totalsRowFormula>
    </tableColumn>
    <tableColumn id="3" xr3:uid="{216863B0-4E4F-4FF1-A6FE-CC1271E73437}" name="Actual" totalsRowFunction="custom" dataDxfId="755" totalsRowDxfId="756">
      <totalsRowFormula>SUBTOTAL(9,Table54[Actual])</totalsRowFormula>
    </tableColumn>
    <tableColumn id="4" xr3:uid="{FB42ACAE-BDA0-4B25-8B64-76A0EFA80A60}" name="Difference" totalsRowFunction="custom" dataDxfId="753" totalsRowDxfId="754">
      <calculatedColumnFormula>B16-C16</calculatedColumnFormula>
      <totalsRowFormula>SUBTOTAL(9,Table54[Difference])</totalsRowFormula>
    </tableColumn>
  </tableColumns>
  <tableStyleInfo name="V42_ExpenseTable" showFirstColumn="0" showLastColumn="1" showRowStripes="0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1DF1705-F2C7-4AF0-8FE1-43FFC657E8EA}" name="Table65" displayName="Table65" ref="F10:I21" totalsRowCount="1" headerRowDxfId="752" dataDxfId="751" headerRowBorderDxfId="749" tableBorderDxfId="750">
  <tableColumns count="4">
    <tableColumn id="1" xr3:uid="{2C9213FD-8D97-4419-AAA0-0C386CE1C0B5}" name="DAILY LIVING" totalsRowFunction="custom" dataDxfId="747" totalsRowDxfId="748">
      <totalsRowFormula>"Total " &amp; Table65[[#Headers],[DAILY LIVING]]</totalsRowFormula>
    </tableColumn>
    <tableColumn id="2" xr3:uid="{33095C21-1C50-44D0-87F8-66533FFB3859}" name="Budget" totalsRowFunction="custom" dataDxfId="745" totalsRowDxfId="746">
      <totalsRowFormula>SUBTOTAL(9,Table65[Budget])</totalsRowFormula>
    </tableColumn>
    <tableColumn id="3" xr3:uid="{8293813F-9937-42E7-B0B0-E76BFE5AB559}" name="Actual" totalsRowFunction="custom" dataDxfId="743" totalsRowDxfId="744">
      <totalsRowFormula>SUBTOTAL(9,Table65[Actual])</totalsRowFormula>
    </tableColumn>
    <tableColumn id="4" xr3:uid="{059C3837-FCD3-4427-B4FE-AC9B4DBCCE57}" name="Difference" totalsRowFunction="custom" dataDxfId="741" totalsRowDxfId="742">
      <calculatedColumnFormula>G11-H11</calculatedColumnFormula>
      <totalsRowFormula>SUBTOTAL(9,Table65[Difference])</totalsRowFormula>
    </tableColumn>
  </tableColumns>
  <tableStyleInfo name="V42_ExpenseTable" showFirstColumn="0" showLastColumn="1" showRowStripes="0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46BC78C5-7FD4-4663-B0AB-0614ABEB3938}" name="Table710" displayName="Table710" ref="F23:I35" totalsRowCount="1" headerRowDxfId="740" dataDxfId="739" headerRowBorderDxfId="737" tableBorderDxfId="738">
  <tableColumns count="4">
    <tableColumn id="1" xr3:uid="{072917FF-3070-4211-BC1A-3CFF2915F918}" name="Diversion " totalsRowFunction="custom" dataDxfId="735" totalsRowDxfId="736">
      <totalsRowFormula>"Total " &amp; Table710[[#Headers],[Diversion ]]</totalsRowFormula>
    </tableColumn>
    <tableColumn id="2" xr3:uid="{802DD2EF-FE6E-4B23-819B-7FB1A67D6002}" name="Budget" totalsRowFunction="custom" dataDxfId="733" totalsRowDxfId="734">
      <totalsRowFormula>SUBTOTAL(9,Table710[Budget])</totalsRowFormula>
    </tableColumn>
    <tableColumn id="3" xr3:uid="{EC6F72AC-8CBF-4C0B-9C7F-38A193DF1981}" name="Actual" totalsRowFunction="custom" dataDxfId="731" totalsRowDxfId="732">
      <totalsRowFormula>SUBTOTAL(9,Table710[Actual])</totalsRowFormula>
    </tableColumn>
    <tableColumn id="4" xr3:uid="{07835EE6-8F3A-43F2-9E6F-1D44EF4A8898}" name="Difference" totalsRowFunction="custom" dataDxfId="729" totalsRowDxfId="730">
      <calculatedColumnFormula>G24-H24</calculatedColumnFormula>
      <totalsRowFormula>SUBTOTAL(9,Table710[Difference])</totalsRowFormula>
    </tableColumn>
  </tableColumns>
  <tableStyleInfo name="V42_ExpenseTable" showFirstColumn="0" showLastColumn="1" showRowStripes="0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4DBFAC0C-27E2-4754-95F0-A9AB25932BDC}" name="Table812" displayName="Table812" ref="F37:I45" totalsRowCount="1" headerRowDxfId="728" dataDxfId="727" headerRowBorderDxfId="725" tableBorderDxfId="726">
  <tableColumns count="4">
    <tableColumn id="1" xr3:uid="{D14F2640-44FC-41D7-A0EF-D3B3BAB43C81}" name="Ahorros" totalsRowFunction="custom" dataDxfId="723" totalsRowDxfId="724">
      <totalsRowFormula>"Total " &amp; Table812[[#Headers],[Ahorros]]</totalsRowFormula>
    </tableColumn>
    <tableColumn id="2" xr3:uid="{1B879943-F1D0-4195-BE98-EB90B91032D0}" name="Budget" totalsRowFunction="custom" dataDxfId="721" totalsRowDxfId="722">
      <totalsRowFormula>SUBTOTAL(9,Table812[Budget])</totalsRowFormula>
    </tableColumn>
    <tableColumn id="3" xr3:uid="{18BD9227-CBBC-40BF-9448-48C48103962E}" name="Actual" totalsRowFunction="custom" dataDxfId="719" totalsRowDxfId="720">
      <totalsRowFormula>SUBTOTAL(9,Table812[Actual])</totalsRowFormula>
    </tableColumn>
    <tableColumn id="4" xr3:uid="{A4FA1963-5BED-46DC-9A31-6DAB17108FA0}" name="Difference" totalsRowFunction="custom" dataDxfId="717" totalsRowDxfId="718">
      <calculatedColumnFormula>G38-H38</calculatedColumnFormula>
      <totalsRowFormula>SUBTOTAL(9,Table812[Difference])</totalsRowFormula>
    </tableColumn>
  </tableColumns>
  <tableStyleInfo name="V42_ExpenseTable" showFirstColumn="0" showLastColumn="1" showRowStripes="0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A935A986-6D2A-4B57-8680-FEE43BE81393}" name="Table1013" displayName="Table1013" ref="F47:I56" totalsRowCount="1" headerRowDxfId="716" dataDxfId="715" headerRowBorderDxfId="714">
  <tableColumns count="4">
    <tableColumn id="1" xr3:uid="{7536EAA0-64C8-4DED-99D1-3FB92C68A1C8}" name="Oblgiaciones " totalsRowFunction="custom" dataDxfId="712" totalsRowDxfId="713">
      <totalsRowFormula>"Total " &amp; Table1013[[#Headers],[Oblgiaciones ]]</totalsRowFormula>
    </tableColumn>
    <tableColumn id="2" xr3:uid="{6D016091-1A34-4073-B5B1-83921C9D798E}" name="Budget" totalsRowFunction="custom" dataDxfId="710" totalsRowDxfId="711">
      <totalsRowFormula>SUBTOTAL(9,Table1013[Budget])</totalsRowFormula>
    </tableColumn>
    <tableColumn id="3" xr3:uid="{1E081EB7-84A9-4A3A-968D-77DB58BFEFDC}" name="Actual" totalsRowFunction="custom" dataDxfId="708" totalsRowDxfId="709">
      <totalsRowFormula>SUBTOTAL(9,Table1013[Actual])</totalsRowFormula>
    </tableColumn>
    <tableColumn id="4" xr3:uid="{6C20710C-70F5-45B1-8CCF-2CBC4C519955}" name="Difference" totalsRowFunction="custom" dataDxfId="706" totalsRowDxfId="707">
      <calculatedColumnFormula>G48-H48</calculatedColumnFormula>
      <totalsRowFormula>SUBTOTAL(9,Table1013[Difference])</totalsRowFormula>
    </tableColumn>
  </tableColumns>
  <tableStyleInfo name="V42_ExpenseTable" showFirstColumn="0" showLastColumn="1" showRowStripes="0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8A92A1D9-73CC-47CB-8A14-078CCB251C5C}" name="Table1414" displayName="Table1414" ref="F58:I63" totalsRowCount="1" headerRowDxfId="705" dataDxfId="704" headerRowBorderDxfId="702" tableBorderDxfId="703">
  <tableColumns count="4">
    <tableColumn id="1" xr3:uid="{A6733DD3-F19E-485A-BE54-0B71725C7D24}" name="Misc" totalsRowFunction="custom" dataDxfId="700" totalsRowDxfId="701">
      <totalsRowFormula>"Total " &amp; Table1414[[#Headers],[Misc]]</totalsRowFormula>
    </tableColumn>
    <tableColumn id="2" xr3:uid="{5C69D848-167E-47AF-B741-3897C651B1D8}" name="Budget" totalsRowFunction="custom" dataDxfId="698" totalsRowDxfId="699">
      <totalsRowFormula>SUBTOTAL(9,Table1414[Budget])</totalsRowFormula>
    </tableColumn>
    <tableColumn id="3" xr3:uid="{4419A1B5-4DA6-4543-8AC4-D71359C05399}" name="Actual" totalsRowFunction="custom" dataDxfId="696" totalsRowDxfId="697">
      <totalsRowFormula>SUBTOTAL(9,Table1414[Actual])</totalsRowFormula>
    </tableColumn>
    <tableColumn id="4" xr3:uid="{2464D577-89AC-4525-B52B-F1B746E4D8CB}" name="Difference" totalsRowFunction="custom" dataDxfId="694" totalsRowDxfId="695">
      <calculatedColumnFormula>G59-H59</calculatedColumnFormula>
      <totalsRowFormula>SUBTOTAL(9,Table1414[Difference])</totalsRowFormula>
    </tableColumn>
  </tableColumns>
  <tableStyleInfo name="V42_ExpenseTable" showFirstColumn="0" showLastColumn="1" showRowStripes="0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F7048D0B-0F8A-45BD-9EFB-E3ECDC17707F}" name="Table1517" displayName="Table1517" ref="A58:D63" totalsRowCount="1" headerRowDxfId="693" dataDxfId="692" headerRowBorderDxfId="690" tableBorderDxfId="691">
  <tableColumns count="4">
    <tableColumn id="1" xr3:uid="{C725BC24-54DD-40CD-9119-03EE3297B3D7}" name="Subscrpciones" totalsRowFunction="custom" dataDxfId="688" totalsRowDxfId="689">
      <totalsRowFormula>"Total " &amp; Table1517[[#Headers],[Subscrpciones]]</totalsRowFormula>
    </tableColumn>
    <tableColumn id="2" xr3:uid="{99D1D0CF-7769-4611-BFE7-FB24F17E33D0}" name="Budget" totalsRowFunction="custom" dataDxfId="686" totalsRowDxfId="687">
      <totalsRowFormula>SUBTOTAL(9,Table1517[Budget])</totalsRowFormula>
    </tableColumn>
    <tableColumn id="3" xr3:uid="{6495E647-C563-4A69-81DA-ED130F1C5B8E}" name="Actual" totalsRowFunction="custom" dataDxfId="684" totalsRowDxfId="685">
      <totalsRowFormula>SUBTOTAL(9,Table1517[Actual])</totalsRowFormula>
    </tableColumn>
    <tableColumn id="4" xr3:uid="{2DDCE74C-1290-4C40-898E-884B32F2B94C}" name="Difference" totalsRowFunction="custom" dataDxfId="682" totalsRowDxfId="683">
      <calculatedColumnFormula>B59-C59</calculatedColumnFormula>
      <totalsRowFormula>SUBTOTAL(9,Table1517[Difference])</totalsRowFormula>
    </tableColumn>
  </tableColumns>
  <tableStyleInfo name="V42_ExpenseTable" showFirstColumn="0" showLastColumn="1" showRowStripes="0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1E57B58E-3F86-4194-B880-B4D9F0063E09}" name="Table1918" displayName="Table1918" ref="A51:D56" totalsRowCount="1" headerRowDxfId="681" dataDxfId="680" headerRowBorderDxfId="678" tableBorderDxfId="679">
  <tableColumns count="4">
    <tableColumn id="1" xr3:uid="{9D500513-C17E-4CA9-A091-FC88F2155B01}" name="CHARITY/GIFTS" totalsRowFunction="custom" dataDxfId="676" totalsRowDxfId="677">
      <totalsRowFormula>"Total " &amp; Table1918[[#Headers],[CHARITY/GIFTS]]</totalsRowFormula>
    </tableColumn>
    <tableColumn id="2" xr3:uid="{5A9CCFB8-2FAF-4CDF-92AF-889D2236E788}" name="Budget" totalsRowFunction="custom" dataDxfId="674" totalsRowDxfId="675">
      <totalsRowFormula>SUBTOTAL(9,Table1918[Budget])</totalsRowFormula>
    </tableColumn>
    <tableColumn id="3" xr3:uid="{1E525DD5-31DE-47B2-BFE4-ED0680AB9AC7}" name="Actual" totalsRowFunction="custom" dataDxfId="672" totalsRowDxfId="673">
      <totalsRowFormula>SUBTOTAL(9,Table1918[Actual])</totalsRowFormula>
    </tableColumn>
    <tableColumn id="4" xr3:uid="{BADD02C4-01D9-4325-885B-3BC97FC466DA}" name="Difference" totalsRowFunction="custom" dataDxfId="670" totalsRowDxfId="671">
      <calculatedColumnFormula>B52-C52</calculatedColumnFormula>
      <totalsRowFormula>SUBTOTAL(9,Table1918[Difference])</totalsRowFormula>
    </tableColumn>
  </tableColumns>
  <tableStyleInfo name="V42_ExpenseTable" showFirstColumn="0" showLastColumn="1" showRowStripes="0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D5D67C6-CD5E-49A8-AEBB-C8C7003F613B}" name="Table2019" displayName="Table2019" ref="A31:D39" totalsRowCount="1" headerRowDxfId="669" dataDxfId="668" headerRowBorderDxfId="666" tableBorderDxfId="667">
  <tableColumns count="4">
    <tableColumn id="1" xr3:uid="{8B003AA7-52CF-4F6D-8E20-13EC707D942C}" name="Transporte" totalsRowFunction="custom" dataDxfId="664" totalsRowDxfId="665">
      <totalsRowFormula>"Total " &amp; Table2019[[#Headers],[Transporte]]</totalsRowFormula>
    </tableColumn>
    <tableColumn id="2" xr3:uid="{EC18AED7-EFCB-4E2B-BEF6-C64B59087782}" name="Budget" totalsRowFunction="custom" dataDxfId="662" totalsRowDxfId="663">
      <totalsRowFormula>SUBTOTAL(9,Table2019[Budget])</totalsRowFormula>
    </tableColumn>
    <tableColumn id="3" xr3:uid="{F5081E92-D578-4B1E-BD19-0504C8D100A6}" name="Actual" totalsRowFunction="custom" dataDxfId="660" totalsRowDxfId="661">
      <totalsRowFormula>SUBTOTAL(9,Table2019[Actual])</totalsRowFormula>
    </tableColumn>
    <tableColumn id="4" xr3:uid="{A22EF2AB-DD8C-40B5-8265-B7DF6916DEF1}" name="Difference" totalsRowFunction="custom" dataDxfId="658" totalsRowDxfId="659">
      <calculatedColumnFormula>B32-C32</calculatedColumnFormula>
      <totalsRowFormula>SUBTOTAL(9,Table2019[Difference])</totalsRowFormula>
    </tableColumn>
  </tableColumns>
  <tableStyleInfo name="V42_ExpenseTable" showFirstColumn="0" showLastColumn="1" showRowStripes="0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B9AC3DC6-F1FC-418E-93FC-91FE3C7CAD49}" name="Table2123" displayName="Table2123" ref="A41:D49" totalsRowCount="1" headerRowDxfId="657" dataDxfId="656" headerRowBorderDxfId="654" tableBorderDxfId="655">
  <tableColumns count="4">
    <tableColumn id="1" xr3:uid="{DEB2C493-A86E-49F2-BB4B-23E4B7042EF7}" name="Salud" totalsRowFunction="custom" dataDxfId="652" totalsRowDxfId="653">
      <totalsRowFormula>"Total " &amp; Table2123[[#Headers],[Salud]]</totalsRowFormula>
    </tableColumn>
    <tableColumn id="2" xr3:uid="{40972271-D334-4710-99A0-0606C2759F39}" name="Budget" totalsRowFunction="custom" dataDxfId="650" totalsRowDxfId="651">
      <totalsRowFormula>SUBTOTAL(9,Table2123[Budget])</totalsRowFormula>
    </tableColumn>
    <tableColumn id="3" xr3:uid="{CA100870-DA4D-499D-AAFB-CE9982B51D39}" name="Actual" totalsRowFunction="custom" dataDxfId="648" totalsRowDxfId="649">
      <totalsRowFormula>SUBTOTAL(9,Table2123[Actual])</totalsRowFormula>
    </tableColumn>
    <tableColumn id="4" xr3:uid="{4A2047D2-AC09-49DC-9FD4-00CC031BA3D7}" name="Difference" totalsRowFunction="custom" dataDxfId="646" totalsRowDxfId="647">
      <calculatedColumnFormula>B42-C42</calculatedColumnFormula>
      <totalsRowFormula>SUBTOTAL(9,Table2123[Difference])</totalsRowFormula>
    </tableColumn>
  </tableColumns>
  <tableStyleInfo name="V42_ExpenseTable" showFirstColumn="0" showLastColumn="1" showRowStripes="0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14842D35-F87C-4695-A43C-216BF2001779}" name="Table2224" displayName="Table2224" ref="A4:D13" totalsRowCount="1" headerRowDxfId="643" dataDxfId="642" headerRowBorderDxfId="640" tableBorderDxfId="641">
  <tableColumns count="4">
    <tableColumn id="1" xr3:uid="{C6166D24-BBD9-496B-9B77-28139F8AC6D4}" name="INCOME" totalsRowFunction="custom" totalsRowDxfId="639">
      <totalsRowFormula>"Total " &amp; Table2224[[#Headers],[INCOME]]</totalsRowFormula>
    </tableColumn>
    <tableColumn id="2" xr3:uid="{7143E211-45B4-46C2-982B-9B73582A523E}" name="Budget" totalsRowFunction="custom" dataDxfId="637" totalsRowDxfId="638">
      <calculatedColumnFormula>23211</calculatedColumnFormula>
      <totalsRowFormula>SUBTOTAL(9,Table2224[Budget])</totalsRowFormula>
    </tableColumn>
    <tableColumn id="3" xr3:uid="{136D4633-1A8D-40EF-94BF-0601CFEF42A1}" name="Actual" totalsRowFunction="custom" totalsRowDxfId="636">
      <totalsRowFormula>SUBTOTAL(9,Table2224[Actual])</totalsRowFormula>
    </tableColumn>
    <tableColumn id="4" xr3:uid="{E16A985F-4D69-48AE-BF72-657A109CA84F}" name="Difference" totalsRowFunction="custom" totalsRowDxfId="635">
      <calculatedColumnFormula>C5-B5</calculatedColumnFormula>
      <totalsRowFormula>SUBTOTAL(9,Table2224[Difference])</totalsRowFormula>
    </tableColumn>
  </tableColumns>
  <tableStyleInfo name="V42_IncomeTable" showFirstColumn="0" showLastColumn="1" showRowStripes="0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2EA8C478-24F2-431B-9A3A-DE29366CBBB1}" name="Table5425" displayName="Table5425" ref="A15:D29" totalsRowCount="1" headerRowDxfId="634" dataDxfId="633" headerRowBorderDxfId="631" tableBorderDxfId="632">
  <tableColumns count="4">
    <tableColumn id="1" xr3:uid="{319B2669-C7F0-4B05-B665-932C946A0677}" name="Gastos Vivienda" totalsRowFunction="custom" dataDxfId="629" totalsRowDxfId="630">
      <totalsRowFormula>"Total " &amp; Table5425[[#Headers],[Gastos Vivienda]]</totalsRowFormula>
    </tableColumn>
    <tableColumn id="2" xr3:uid="{708C639B-8D20-43EC-9B8F-9F04CE79A693}" name="Budget" totalsRowFunction="custom" dataDxfId="627" totalsRowDxfId="628">
      <totalsRowFormula>SUBTOTAL(9,Table5425[Budget])</totalsRowFormula>
    </tableColumn>
    <tableColumn id="3" xr3:uid="{846F5B95-3335-4298-8DA1-6DBBD685318A}" name="Actual" totalsRowFunction="custom" dataDxfId="625" totalsRowDxfId="626">
      <totalsRowFormula>SUBTOTAL(9,Table5425[Actual])</totalsRowFormula>
    </tableColumn>
    <tableColumn id="4" xr3:uid="{4930DCD4-03E9-424E-B8D1-55A500DEE913}" name="Difference" totalsRowFunction="custom" dataDxfId="623" totalsRowDxfId="624">
      <calculatedColumnFormula>B16-C16</calculatedColumnFormula>
      <totalsRowFormula>SUBTOTAL(9,Table5425[Difference])</totalsRowFormula>
    </tableColumn>
  </tableColumns>
  <tableStyleInfo name="V42_ExpenseTable" showFirstColumn="0" showLastColumn="1" showRowStripes="0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756DA554-118C-4095-BEEB-13094713D9AE}" name="Table6526" displayName="Table6526" ref="F10:I21" totalsRowCount="1" headerRowDxfId="622" dataDxfId="621" headerRowBorderDxfId="619" tableBorderDxfId="620">
  <tableColumns count="4">
    <tableColumn id="1" xr3:uid="{C7FD2348-9D71-4FB1-9317-14EED0867C8A}" name="DAILY LIVING" totalsRowFunction="custom" dataDxfId="617" totalsRowDxfId="618">
      <totalsRowFormula>"Total " &amp; Table6526[[#Headers],[DAILY LIVING]]</totalsRowFormula>
    </tableColumn>
    <tableColumn id="2" xr3:uid="{B5F50ABE-004F-4F92-932A-E58E152928FC}" name="Budget" totalsRowFunction="custom" dataDxfId="615" totalsRowDxfId="616">
      <totalsRowFormula>SUBTOTAL(9,Table6526[Budget])</totalsRowFormula>
    </tableColumn>
    <tableColumn id="3" xr3:uid="{A20B9DC2-5BEC-4D3C-BC33-89BAB2396B35}" name="Actual" totalsRowFunction="custom" dataDxfId="613" totalsRowDxfId="614">
      <totalsRowFormula>SUBTOTAL(9,Table6526[Actual])</totalsRowFormula>
    </tableColumn>
    <tableColumn id="4" xr3:uid="{82E724D6-FFD5-437C-AA8D-AE13C303D6F1}" name="Difference" totalsRowFunction="custom" dataDxfId="611" totalsRowDxfId="612">
      <calculatedColumnFormula>G11-H11</calculatedColumnFormula>
      <totalsRowFormula>SUBTOTAL(9,Table6526[Difference])</totalsRowFormula>
    </tableColumn>
  </tableColumns>
  <tableStyleInfo name="V42_ExpenseTable" showFirstColumn="0" showLastColumn="1" showRowStripes="0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A0680259-9B66-4B17-8FD2-4E540CF1A572}" name="Table71027" displayName="Table71027" ref="F23:I35" totalsRowCount="1" headerRowDxfId="610" dataDxfId="609" headerRowBorderDxfId="607" tableBorderDxfId="608">
  <tableColumns count="4">
    <tableColumn id="1" xr3:uid="{8E6673CC-62D9-41EF-8F10-1D44CE22FB85}" name="Diversion " totalsRowFunction="custom" dataDxfId="605" totalsRowDxfId="606">
      <totalsRowFormula>"Total " &amp; Table71027[[#Headers],[Diversion ]]</totalsRowFormula>
    </tableColumn>
    <tableColumn id="2" xr3:uid="{8A7CB355-E3C8-4171-AD72-C5A3133C95F6}" name="Budget" totalsRowFunction="custom" dataDxfId="603" totalsRowDxfId="604">
      <totalsRowFormula>SUBTOTAL(9,Table71027[Budget])</totalsRowFormula>
    </tableColumn>
    <tableColumn id="3" xr3:uid="{C319AAB7-1A5C-4D79-8F58-C266D06D856B}" name="Actual" totalsRowFunction="custom" dataDxfId="601" totalsRowDxfId="602">
      <totalsRowFormula>SUBTOTAL(9,Table71027[Actual])</totalsRowFormula>
    </tableColumn>
    <tableColumn id="4" xr3:uid="{8675A183-036C-46E5-A8EF-0CED1B4589DB}" name="Difference" totalsRowFunction="custom" dataDxfId="599" totalsRowDxfId="600">
      <calculatedColumnFormula>G24-H24</calculatedColumnFormula>
      <totalsRowFormula>SUBTOTAL(9,Table71027[Difference])</totalsRowFormula>
    </tableColumn>
  </tableColumns>
  <tableStyleInfo name="V42_ExpenseTable" showFirstColumn="0" showLastColumn="1" showRowStripes="0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5E50C08-FFCE-4738-9FBB-6BBCA5E06A3D}" name="Table81228" displayName="Table81228" ref="F37:I45" totalsRowCount="1" headerRowDxfId="598" dataDxfId="597" headerRowBorderDxfId="595" tableBorderDxfId="596">
  <tableColumns count="4">
    <tableColumn id="1" xr3:uid="{110DF071-618D-4DEF-82EF-4BE3F8185014}" name="Ahorros" totalsRowFunction="custom" dataDxfId="593" totalsRowDxfId="594">
      <totalsRowFormula>"Total " &amp; Table81228[[#Headers],[Ahorros]]</totalsRowFormula>
    </tableColumn>
    <tableColumn id="2" xr3:uid="{91F903C1-DD46-41C7-83EE-2D2725FCBF3F}" name="Budget" totalsRowFunction="custom" dataDxfId="591" totalsRowDxfId="592">
      <totalsRowFormula>SUBTOTAL(9,Table81228[Budget])</totalsRowFormula>
    </tableColumn>
    <tableColumn id="3" xr3:uid="{4378B480-1D32-4F98-9DCC-6B8130518735}" name="Actual" totalsRowFunction="custom" dataDxfId="589" totalsRowDxfId="590">
      <totalsRowFormula>SUBTOTAL(9,Table81228[Actual])</totalsRowFormula>
    </tableColumn>
    <tableColumn id="4" xr3:uid="{46035DAF-4D55-4551-9628-97874B75FD3D}" name="Difference" totalsRowFunction="custom" dataDxfId="587" totalsRowDxfId="588">
      <calculatedColumnFormula>G38-H38</calculatedColumnFormula>
      <totalsRowFormula>SUBTOTAL(9,Table81228[Difference])</totalsRowFormula>
    </tableColumn>
  </tableColumns>
  <tableStyleInfo name="V42_ExpenseTable" showFirstColumn="0" showLastColumn="1" showRowStripes="0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8F6895A1-4B88-4221-BD02-641273BD132B}" name="Table101329" displayName="Table101329" ref="F47:I56" totalsRowCount="1" headerRowDxfId="586" dataDxfId="585" headerRowBorderDxfId="584">
  <tableColumns count="4">
    <tableColumn id="1" xr3:uid="{8DBAA38B-6560-4C53-B677-418D4BA8FAC1}" name="Oblgiaciones " totalsRowFunction="custom" dataDxfId="582" totalsRowDxfId="583">
      <totalsRowFormula>"Total " &amp; Table101329[[#Headers],[Oblgiaciones ]]</totalsRowFormula>
    </tableColumn>
    <tableColumn id="2" xr3:uid="{EF5F8E6E-770F-4354-95A3-96467C9009FF}" name="Budget" totalsRowFunction="custom" dataDxfId="580" totalsRowDxfId="581">
      <totalsRowFormula>SUBTOTAL(9,Table101329[Budget])</totalsRowFormula>
    </tableColumn>
    <tableColumn id="3" xr3:uid="{2F859FD1-4FEE-48B5-93D5-C2DFF0DA18F9}" name="Actual" totalsRowFunction="custom" dataDxfId="578" totalsRowDxfId="579">
      <totalsRowFormula>SUBTOTAL(9,Table101329[Actual])</totalsRowFormula>
    </tableColumn>
    <tableColumn id="4" xr3:uid="{EC5FBEC9-4DD1-4B6B-A9F1-4143DA8179A7}" name="Difference" totalsRowFunction="custom" dataDxfId="576" totalsRowDxfId="577">
      <calculatedColumnFormula>G48-H48</calculatedColumnFormula>
      <totalsRowFormula>SUBTOTAL(9,Table101329[Difference])</totalsRowFormula>
    </tableColumn>
  </tableColumns>
  <tableStyleInfo name="V42_ExpenseTable" showFirstColumn="0" showLastColumn="1" showRowStripes="0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9A86F121-0E98-4101-950F-561C943EC31B}" name="Table141430" displayName="Table141430" ref="F58:I63" totalsRowCount="1" headerRowDxfId="575" dataDxfId="574" headerRowBorderDxfId="572" tableBorderDxfId="573">
  <tableColumns count="4">
    <tableColumn id="1" xr3:uid="{88493A9F-CE59-4907-947B-F09C0AFE8138}" name="Misc" totalsRowFunction="custom" dataDxfId="570" totalsRowDxfId="571">
      <totalsRowFormula>"Total " &amp; Table141430[[#Headers],[Misc]]</totalsRowFormula>
    </tableColumn>
    <tableColumn id="2" xr3:uid="{02C2DB1F-E691-43EB-B678-2E58B133D377}" name="Budget" totalsRowFunction="custom" dataDxfId="568" totalsRowDxfId="569">
      <totalsRowFormula>SUBTOTAL(9,Table141430[Budget])</totalsRowFormula>
    </tableColumn>
    <tableColumn id="3" xr3:uid="{50F172CE-2323-4237-B0D1-34DED328F275}" name="Actual" totalsRowFunction="custom" dataDxfId="566" totalsRowDxfId="567">
      <totalsRowFormula>SUBTOTAL(9,Table141430[Actual])</totalsRowFormula>
    </tableColumn>
    <tableColumn id="4" xr3:uid="{7BEA1AEE-63A6-45D2-B1E3-8B907ABA2C1F}" name="Difference" totalsRowFunction="custom" dataDxfId="564" totalsRowDxfId="565">
      <calculatedColumnFormula>G59-H59</calculatedColumnFormula>
      <totalsRowFormula>SUBTOTAL(9,Table141430[Difference])</totalsRowFormula>
    </tableColumn>
  </tableColumns>
  <tableStyleInfo name="V42_ExpenseTable" showFirstColumn="0" showLastColumn="1" showRowStripes="0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98AD7890-0529-4BDA-B917-CCCD54D16CD7}" name="Table151731" displayName="Table151731" ref="A58:D63" totalsRowCount="1" headerRowDxfId="563" dataDxfId="562" headerRowBorderDxfId="560" tableBorderDxfId="561">
  <tableColumns count="4">
    <tableColumn id="1" xr3:uid="{C46664A0-17BD-4EB4-8336-8AD1576B968B}" name="Subscrpciones" totalsRowFunction="custom" dataDxfId="558" totalsRowDxfId="559">
      <totalsRowFormula>"Total " &amp; Table151731[[#Headers],[Subscrpciones]]</totalsRowFormula>
    </tableColumn>
    <tableColumn id="2" xr3:uid="{B31641F4-7444-4949-84F5-0B84593A0554}" name="Budget" totalsRowFunction="custom" dataDxfId="556" totalsRowDxfId="557">
      <totalsRowFormula>SUBTOTAL(9,Table151731[Budget])</totalsRowFormula>
    </tableColumn>
    <tableColumn id="3" xr3:uid="{B7557EF9-8F0B-479A-9A41-E8165A599322}" name="Actual" totalsRowFunction="custom" dataDxfId="554" totalsRowDxfId="555">
      <totalsRowFormula>SUBTOTAL(9,Table151731[Actual])</totalsRowFormula>
    </tableColumn>
    <tableColumn id="4" xr3:uid="{15095621-C19A-49AE-96C6-6B70313893DC}" name="Difference" totalsRowFunction="custom" dataDxfId="552" totalsRowDxfId="553">
      <calculatedColumnFormula>B59-C59</calculatedColumnFormula>
      <totalsRowFormula>SUBTOTAL(9,Table151731[Difference])</totalsRowFormula>
    </tableColumn>
  </tableColumns>
  <tableStyleInfo name="V42_ExpenseTable" showFirstColumn="0" showLastColumn="1" showRowStripes="0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12043883-D47E-4521-A81F-72F7CD7DFF3A}" name="Table191832" displayName="Table191832" ref="A51:D56" totalsRowCount="1" headerRowDxfId="551" dataDxfId="550" headerRowBorderDxfId="548" tableBorderDxfId="549">
  <tableColumns count="4">
    <tableColumn id="1" xr3:uid="{AAC89501-66B7-4DA5-B045-37209933D41D}" name="CHARITY/GIFTS" totalsRowFunction="custom" dataDxfId="546" totalsRowDxfId="547">
      <totalsRowFormula>"Total " &amp; Table191832[[#Headers],[CHARITY/GIFTS]]</totalsRowFormula>
    </tableColumn>
    <tableColumn id="2" xr3:uid="{DA74B968-F11A-462F-8B20-B1AECDCD2B4C}" name="Budget" totalsRowFunction="custom" dataDxfId="544" totalsRowDxfId="545">
      <totalsRowFormula>SUBTOTAL(9,Table191832[Budget])</totalsRowFormula>
    </tableColumn>
    <tableColumn id="3" xr3:uid="{6808C2BE-20FF-4D44-A0C0-0E607C285064}" name="Actual" totalsRowFunction="custom" dataDxfId="542" totalsRowDxfId="543">
      <totalsRowFormula>SUBTOTAL(9,Table191832[Actual])</totalsRowFormula>
    </tableColumn>
    <tableColumn id="4" xr3:uid="{335D9D4B-B3DC-47E9-8480-EDFDFAA0D5E9}" name="Difference" totalsRowFunction="custom" dataDxfId="540" totalsRowDxfId="541">
      <calculatedColumnFormula>B52-C52</calculatedColumnFormula>
      <totalsRowFormula>SUBTOTAL(9,Table191832[Difference])</totalsRowFormula>
    </tableColumn>
  </tableColumns>
  <tableStyleInfo name="V42_ExpenseTable" showFirstColumn="0" showLastColumn="1" showRowStripes="0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9AF5CBC9-39CD-48BF-B2AD-30FF64345DF8}" name="Table201933" displayName="Table201933" ref="A31:D39" totalsRowCount="1" headerRowDxfId="539" dataDxfId="538" headerRowBorderDxfId="536" tableBorderDxfId="537">
  <tableColumns count="4">
    <tableColumn id="1" xr3:uid="{B4B635BD-F405-4F5C-BBE0-7EC580552003}" name="Transporte" totalsRowFunction="custom" dataDxfId="534" totalsRowDxfId="535">
      <totalsRowFormula>"Total " &amp; Table201933[[#Headers],[Transporte]]</totalsRowFormula>
    </tableColumn>
    <tableColumn id="2" xr3:uid="{C4BC635E-4D78-4D08-9126-6A102757571F}" name="Budget" totalsRowFunction="custom" dataDxfId="532" totalsRowDxfId="533">
      <totalsRowFormula>SUBTOTAL(9,Table201933[Budget])</totalsRowFormula>
    </tableColumn>
    <tableColumn id="3" xr3:uid="{70B8F82C-1EBE-426C-BA7A-0778BB0B45D9}" name="Actual" totalsRowFunction="custom" dataDxfId="530" totalsRowDxfId="531">
      <totalsRowFormula>SUBTOTAL(9,Table201933[Actual])</totalsRowFormula>
    </tableColumn>
    <tableColumn id="4" xr3:uid="{3D5155D6-3569-420A-A768-D71F67FBB50C}" name="Difference" totalsRowFunction="custom" dataDxfId="528" totalsRowDxfId="529">
      <calculatedColumnFormula>B32-C32</calculatedColumnFormula>
      <totalsRowFormula>SUBTOTAL(9,Table201933[Difference])</totalsRowFormula>
    </tableColumn>
  </tableColumns>
  <tableStyleInfo name="V42_ExpenseTable" showFirstColumn="0" showLastColumn="1" showRowStripes="0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9FAC58F5-807B-4124-B243-B06917D61F1B}" name="Table212334" displayName="Table212334" ref="A41:D49" totalsRowCount="1" headerRowDxfId="527" dataDxfId="526" headerRowBorderDxfId="524" tableBorderDxfId="525">
  <tableColumns count="4">
    <tableColumn id="1" xr3:uid="{1E3B3AA0-49F5-4040-A78E-0C8F106533B9}" name="Salud" totalsRowFunction="custom" dataDxfId="522" totalsRowDxfId="523">
      <totalsRowFormula>"Total " &amp; Table212334[[#Headers],[Salud]]</totalsRowFormula>
    </tableColumn>
    <tableColumn id="2" xr3:uid="{AE2B3E68-42C4-47E9-B66F-DF0E13CF2FE6}" name="Budget" totalsRowFunction="custom" dataDxfId="520" totalsRowDxfId="521">
      <totalsRowFormula>SUBTOTAL(9,Table212334[Budget])</totalsRowFormula>
    </tableColumn>
    <tableColumn id="3" xr3:uid="{6F985869-846B-4835-AC8E-2D57D4A95B54}" name="Actual" totalsRowFunction="custom" dataDxfId="518" totalsRowDxfId="519">
      <totalsRowFormula>SUBTOTAL(9,Table212334[Actual])</totalsRowFormula>
    </tableColumn>
    <tableColumn id="4" xr3:uid="{2D738640-4492-41F5-8E3B-15C2B0519B28}" name="Difference" totalsRowFunction="custom" dataDxfId="516" totalsRowDxfId="517">
      <calculatedColumnFormula>B42-C42</calculatedColumnFormula>
      <totalsRowFormula>SUBTOTAL(9,Table212334[Difference])</totalsRowFormula>
    </tableColumn>
  </tableColumns>
  <tableStyleInfo name="V42_ExpenseTable" showFirstColumn="0" showLastColumn="1" showRowStripes="0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3F85516A-DE9C-4E9D-A325-C3CDD9F171A1}" name="Table222435" displayName="Table222435" ref="A4:D13" totalsRowCount="1" headerRowDxfId="513" dataDxfId="512" headerRowBorderDxfId="510" tableBorderDxfId="511">
  <tableColumns count="4">
    <tableColumn id="1" xr3:uid="{2EF178D0-7AFA-4197-BC53-BFD12CD4D9CE}" name="INCOME" totalsRowFunction="custom" totalsRowDxfId="509">
      <totalsRowFormula>"Total " &amp; Table222435[[#Headers],[INCOME]]</totalsRowFormula>
    </tableColumn>
    <tableColumn id="2" xr3:uid="{36B5F156-5F0B-4964-AE3E-E7BFB5DE7562}" name="Budget" totalsRowFunction="custom" totalsRowDxfId="508">
      <totalsRowFormula>SUBTOTAL(9,Table222435[Budget])</totalsRowFormula>
    </tableColumn>
    <tableColumn id="3" xr3:uid="{535186BE-1D26-4351-826F-86502805CF46}" name="Actual" totalsRowFunction="custom" totalsRowDxfId="507">
      <totalsRowFormula>SUBTOTAL(9,Table222435[Actual])</totalsRowFormula>
    </tableColumn>
    <tableColumn id="4" xr3:uid="{EE0FF842-7D37-437C-8BA5-5641C8D73281}" name="Difference" totalsRowFunction="custom" totalsRowDxfId="506">
      <calculatedColumnFormula>C5-B5</calculatedColumnFormula>
      <totalsRowFormula>SUBTOTAL(9,Table222435[Difference])</totalsRowFormula>
    </tableColumn>
  </tableColumns>
  <tableStyleInfo name="V42_IncomeTable" showFirstColumn="0" showLastColumn="1" showRowStripes="0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108A91B3-6576-4204-89DD-B219D022F0CD}" name="Table542536" displayName="Table542536" ref="A15:D29" totalsRowCount="1" headerRowDxfId="505" dataDxfId="504" headerRowBorderDxfId="502" tableBorderDxfId="503">
  <tableColumns count="4">
    <tableColumn id="1" xr3:uid="{D3407A8C-1322-4921-8865-32652853387A}" name="Gastos Vivienda" totalsRowFunction="custom" dataDxfId="500" totalsRowDxfId="501">
      <totalsRowFormula>"Total " &amp; Table542536[[#Headers],[Gastos Vivienda]]</totalsRowFormula>
    </tableColumn>
    <tableColumn id="2" xr3:uid="{483421C0-6C6A-487F-A882-71F1D663FE74}" name="Budget" totalsRowFunction="custom" dataDxfId="498" totalsRowDxfId="499">
      <totalsRowFormula>SUBTOTAL(9,Table542536[Budget])</totalsRowFormula>
    </tableColumn>
    <tableColumn id="3" xr3:uid="{8C8A20BA-2ECD-4FA1-9FA8-2C2BCB7B5815}" name="Actual" totalsRowFunction="custom" dataDxfId="496" totalsRowDxfId="497">
      <totalsRowFormula>SUBTOTAL(9,Table542536[Actual])</totalsRowFormula>
    </tableColumn>
    <tableColumn id="4" xr3:uid="{E6F08BE4-9D8A-4DC7-9540-CF0CCAE55975}" name="Difference" totalsRowFunction="custom" dataDxfId="494" totalsRowDxfId="495">
      <calculatedColumnFormula>B16-C16</calculatedColumnFormula>
      <totalsRowFormula>SUBTOTAL(9,Table542536[Difference])</totalsRowFormula>
    </tableColumn>
  </tableColumns>
  <tableStyleInfo name="V42_ExpenseTable" showFirstColumn="0" showLastColumn="1" showRowStripes="0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B12AE01D-E9D5-4D2A-8310-4EAF93A389E8}" name="Table652637" displayName="Table652637" ref="F10:I21" totalsRowCount="1" headerRowDxfId="493" dataDxfId="492" headerRowBorderDxfId="490" tableBorderDxfId="491">
  <tableColumns count="4">
    <tableColumn id="1" xr3:uid="{A932EAEE-AA29-4755-9F55-CCD7C8D093F4}" name="DAILY LIVING" totalsRowFunction="custom" dataDxfId="488" totalsRowDxfId="489">
      <totalsRowFormula>"Total " &amp; Table652637[[#Headers],[DAILY LIVING]]</totalsRowFormula>
    </tableColumn>
    <tableColumn id="2" xr3:uid="{BEABCAFF-3259-4F10-B4CA-162DA172E6E3}" name="Budget" totalsRowFunction="custom" dataDxfId="486" totalsRowDxfId="487">
      <totalsRowFormula>SUBTOTAL(9,Table652637[Budget])</totalsRowFormula>
    </tableColumn>
    <tableColumn id="3" xr3:uid="{6849E31B-E47F-4AFA-84B5-CC5F4F8F22DD}" name="Actual" totalsRowFunction="custom" dataDxfId="484" totalsRowDxfId="485">
      <totalsRowFormula>SUBTOTAL(9,Table652637[Actual])</totalsRowFormula>
    </tableColumn>
    <tableColumn id="4" xr3:uid="{4DA29FCD-E3C6-4FB1-8B56-0EEA137621FF}" name="Difference" totalsRowFunction="custom" dataDxfId="482" totalsRowDxfId="483">
      <calculatedColumnFormula>G11-H11</calculatedColumnFormula>
      <totalsRowFormula>SUBTOTAL(9,Table652637[Difference])</totalsRowFormula>
    </tableColumn>
  </tableColumns>
  <tableStyleInfo name="V42_ExpenseTable" showFirstColumn="0" showLastColumn="1" showRowStripes="0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5F0A5126-967A-457A-B929-E8E93E3F2163}" name="Table7102738" displayName="Table7102738" ref="F23:I35" totalsRowCount="1" headerRowDxfId="481" dataDxfId="480" headerRowBorderDxfId="478" tableBorderDxfId="479">
  <tableColumns count="4">
    <tableColumn id="1" xr3:uid="{8A34721C-07C2-45A8-84EA-32BA0DE40A4A}" name="Diversion " totalsRowFunction="custom" dataDxfId="476" totalsRowDxfId="477">
      <totalsRowFormula>"Total " &amp; Table7102738[[#Headers],[Diversion ]]</totalsRowFormula>
    </tableColumn>
    <tableColumn id="2" xr3:uid="{426DD338-8644-4A7B-988D-1CD48910F0AA}" name="Budget" totalsRowFunction="custom" dataDxfId="474" totalsRowDxfId="475">
      <totalsRowFormula>SUBTOTAL(9,Table7102738[Budget])</totalsRowFormula>
    </tableColumn>
    <tableColumn id="3" xr3:uid="{9063092F-2790-4EAA-944F-DF9FD2B7C5C8}" name="Actual" totalsRowFunction="custom" dataDxfId="472" totalsRowDxfId="473">
      <totalsRowFormula>SUBTOTAL(9,Table7102738[Actual])</totalsRowFormula>
    </tableColumn>
    <tableColumn id="4" xr3:uid="{1BBA0E49-1801-4BC6-A0B3-1CAA8392F3BE}" name="Difference" totalsRowFunction="custom" dataDxfId="470" totalsRowDxfId="471">
      <calculatedColumnFormula>G24-H24</calculatedColumnFormula>
      <totalsRowFormula>SUBTOTAL(9,Table7102738[Difference])</totalsRowFormula>
    </tableColumn>
  </tableColumns>
  <tableStyleInfo name="V42_ExpenseTable" showFirstColumn="0" showLastColumn="1" showRowStripes="0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637EB48-9363-4455-AB9B-9895AFFAA753}" name="Table8122839" displayName="Table8122839" ref="F37:I45" totalsRowCount="1" headerRowDxfId="469" dataDxfId="468" headerRowBorderDxfId="466" tableBorderDxfId="467">
  <tableColumns count="4">
    <tableColumn id="1" xr3:uid="{00A38C9B-B5B5-432E-8083-192B1BC5635C}" name="Ahorros" totalsRowFunction="custom" dataDxfId="464" totalsRowDxfId="465">
      <totalsRowFormula>"Total " &amp; Table8122839[[#Headers],[Ahorros]]</totalsRowFormula>
    </tableColumn>
    <tableColumn id="2" xr3:uid="{8827F38C-0685-4AB4-BC98-A5BB0515BB7D}" name="Budget" totalsRowFunction="custom" dataDxfId="462" totalsRowDxfId="463">
      <totalsRowFormula>SUBTOTAL(9,Table8122839[Budget])</totalsRowFormula>
    </tableColumn>
    <tableColumn id="3" xr3:uid="{872C82AF-CEC4-4050-A23C-E8D282040F72}" name="Actual" totalsRowFunction="custom" dataDxfId="460" totalsRowDxfId="461">
      <totalsRowFormula>SUBTOTAL(9,Table8122839[Actual])</totalsRowFormula>
    </tableColumn>
    <tableColumn id="4" xr3:uid="{BF92217D-C832-4E06-9FA4-63E5C671E942}" name="Difference" totalsRowFunction="custom" dataDxfId="458" totalsRowDxfId="459">
      <calculatedColumnFormula>G38-H38</calculatedColumnFormula>
      <totalsRowFormula>SUBTOTAL(9,Table8122839[Difference])</totalsRowFormula>
    </tableColumn>
  </tableColumns>
  <tableStyleInfo name="V42_ExpenseTable" showFirstColumn="0" showLastColumn="1" showRowStripes="0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0314A55F-C068-44A7-95EB-95A6E6E2D36F}" name="Table10132940" displayName="Table10132940" ref="F47:I56" totalsRowCount="1" headerRowDxfId="457" dataDxfId="456" headerRowBorderDxfId="455">
  <tableColumns count="4">
    <tableColumn id="1" xr3:uid="{E0729393-654E-485E-AD26-02DC9D50340A}" name="Oblgiaciones " totalsRowFunction="custom" dataDxfId="453" totalsRowDxfId="454">
      <totalsRowFormula>"Total " &amp; Table10132940[[#Headers],[Oblgiaciones ]]</totalsRowFormula>
    </tableColumn>
    <tableColumn id="2" xr3:uid="{14655D70-CA44-404C-8032-7F9F8F3AABD0}" name="Budget" totalsRowFunction="custom" dataDxfId="451" totalsRowDxfId="452">
      <totalsRowFormula>SUBTOTAL(9,Table10132940[Budget])</totalsRowFormula>
    </tableColumn>
    <tableColumn id="3" xr3:uid="{8AC4E0C4-4B07-4454-85FA-6676B30FA471}" name="Actual" totalsRowFunction="custom" dataDxfId="449" totalsRowDxfId="450">
      <totalsRowFormula>SUBTOTAL(9,Table10132940[Actual])</totalsRowFormula>
    </tableColumn>
    <tableColumn id="4" xr3:uid="{F39032BC-EEA6-4297-8036-C9F914A86B01}" name="Difference" totalsRowFunction="custom" dataDxfId="447" totalsRowDxfId="448">
      <calculatedColumnFormula>G48-H48</calculatedColumnFormula>
      <totalsRowFormula>SUBTOTAL(9,Table10132940[Difference])</totalsRowFormula>
    </tableColumn>
  </tableColumns>
  <tableStyleInfo name="V42_ExpenseTable" showFirstColumn="0" showLastColumn="1" showRowStripes="0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2D29A821-D229-43BD-8A8A-CF4F33D2F364}" name="Table14143041" displayName="Table14143041" ref="F58:I63" totalsRowCount="1" headerRowDxfId="446" dataDxfId="445" headerRowBorderDxfId="443" tableBorderDxfId="444">
  <tableColumns count="4">
    <tableColumn id="1" xr3:uid="{C1994F0E-7DA3-41F7-9B92-05FBBCC10E0C}" name="Misc" totalsRowFunction="custom" dataDxfId="441" totalsRowDxfId="442">
      <totalsRowFormula>"Total " &amp; Table14143041[[#Headers],[Misc]]</totalsRowFormula>
    </tableColumn>
    <tableColumn id="2" xr3:uid="{99E827A7-51AC-4FD3-AC4E-48DE82FE8F89}" name="Budget" totalsRowFunction="custom" dataDxfId="439" totalsRowDxfId="440">
      <totalsRowFormula>SUBTOTAL(9,Table14143041[Budget])</totalsRowFormula>
    </tableColumn>
    <tableColumn id="3" xr3:uid="{31491C1B-1D18-4CA2-91DA-0036EF22ECD3}" name="Actual" totalsRowFunction="custom" dataDxfId="437" totalsRowDxfId="438">
      <totalsRowFormula>SUBTOTAL(9,Table14143041[Actual])</totalsRowFormula>
    </tableColumn>
    <tableColumn id="4" xr3:uid="{D3481AD1-C585-429D-A7F8-5612C139A9FA}" name="Difference" totalsRowFunction="custom" dataDxfId="435" totalsRowDxfId="436">
      <calculatedColumnFormula>G59-H59</calculatedColumnFormula>
      <totalsRowFormula>SUBTOTAL(9,Table14143041[Difference])</totalsRowFormula>
    </tableColumn>
  </tableColumns>
  <tableStyleInfo name="V42_ExpenseTable" showFirstColumn="0" showLastColumn="1" showRowStripes="0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06F45D3F-C129-421D-BF8E-656FFCEEFB56}" name="Table15173142" displayName="Table15173142" ref="A58:D63" totalsRowCount="1" headerRowDxfId="434" dataDxfId="433" headerRowBorderDxfId="431" tableBorderDxfId="432">
  <tableColumns count="4">
    <tableColumn id="1" xr3:uid="{FC2BD3B3-73EC-4794-9196-8FAF3B23E175}" name="Subscrpciones" totalsRowFunction="custom" dataDxfId="429" totalsRowDxfId="430">
      <totalsRowFormula>"Total " &amp; Table15173142[[#Headers],[Subscrpciones]]</totalsRowFormula>
    </tableColumn>
    <tableColumn id="2" xr3:uid="{CB41760C-F27A-4C9D-A8A9-B6BFB4BE3AD0}" name="Budget" totalsRowFunction="custom" dataDxfId="427" totalsRowDxfId="428">
      <totalsRowFormula>SUBTOTAL(9,Table15173142[Budget])</totalsRowFormula>
    </tableColumn>
    <tableColumn id="3" xr3:uid="{B87155CB-6D4A-49E9-A6C0-33783C7EFBC7}" name="Actual" totalsRowFunction="custom" dataDxfId="425" totalsRowDxfId="426">
      <totalsRowFormula>SUBTOTAL(9,Table15173142[Actual])</totalsRowFormula>
    </tableColumn>
    <tableColumn id="4" xr3:uid="{69A2E5C9-8505-40D4-9E8E-D174B8F74552}" name="Difference" totalsRowFunction="custom" dataDxfId="423" totalsRowDxfId="424">
      <calculatedColumnFormula>B59-C59</calculatedColumnFormula>
      <totalsRowFormula>SUBTOTAL(9,Table15173142[Difference])</totalsRowFormula>
    </tableColumn>
  </tableColumns>
  <tableStyleInfo name="V42_ExpenseTable" showFirstColumn="0" showLastColumn="1" showRowStripes="0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3187E153-7786-4A0A-BA73-279F457D6C1E}" name="Table19183243" displayName="Table19183243" ref="A51:D56" totalsRowCount="1" headerRowDxfId="422" dataDxfId="421" headerRowBorderDxfId="419" tableBorderDxfId="420">
  <tableColumns count="4">
    <tableColumn id="1" xr3:uid="{8A5D1411-3ADE-4BE2-B7A7-896C992A2DB8}" name="CHARITY/GIFTS" totalsRowFunction="custom" dataDxfId="417" totalsRowDxfId="418">
      <totalsRowFormula>"Total " &amp; Table19183243[[#Headers],[CHARITY/GIFTS]]</totalsRowFormula>
    </tableColumn>
    <tableColumn id="2" xr3:uid="{004011AF-25CF-4307-9DD1-02B01A68EC6D}" name="Budget" totalsRowFunction="custom" dataDxfId="415" totalsRowDxfId="416">
      <totalsRowFormula>SUBTOTAL(9,Table19183243[Budget])</totalsRowFormula>
    </tableColumn>
    <tableColumn id="3" xr3:uid="{8DF0CDCD-E719-48FF-8A36-EFD82DD59421}" name="Actual" totalsRowFunction="custom" dataDxfId="413" totalsRowDxfId="414">
      <totalsRowFormula>SUBTOTAL(9,Table19183243[Actual])</totalsRowFormula>
    </tableColumn>
    <tableColumn id="4" xr3:uid="{B83BF0A0-3004-4646-95AD-53A10C105E96}" name="Difference" totalsRowFunction="custom" dataDxfId="411" totalsRowDxfId="412">
      <calculatedColumnFormula>B52-C52</calculatedColumnFormula>
      <totalsRowFormula>SUBTOTAL(9,Table19183243[Difference])</totalsRowFormula>
    </tableColumn>
  </tableColumns>
  <tableStyleInfo name="V42_ExpenseTable" showFirstColumn="0" showLastColumn="1" showRowStripes="0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E4449C62-C149-438B-9A3A-6C83D40D32DF}" name="Table20193344" displayName="Table20193344" ref="A31:D39" totalsRowCount="1" headerRowDxfId="410" dataDxfId="409" headerRowBorderDxfId="407" tableBorderDxfId="408">
  <tableColumns count="4">
    <tableColumn id="1" xr3:uid="{95611F06-D35B-4537-9835-753FD66EBAFF}" name="Transporte" totalsRowFunction="custom" dataDxfId="405" totalsRowDxfId="406">
      <totalsRowFormula>"Total " &amp; Table20193344[[#Headers],[Transporte]]</totalsRowFormula>
    </tableColumn>
    <tableColumn id="2" xr3:uid="{6BE456C1-85D6-496F-A9A9-1D0D7CA722AD}" name="Budget" totalsRowFunction="custom" dataDxfId="403" totalsRowDxfId="404">
      <totalsRowFormula>SUBTOTAL(9,Table20193344[Budget])</totalsRowFormula>
    </tableColumn>
    <tableColumn id="3" xr3:uid="{64EEA3E1-EE54-4FE0-AC6E-E231BD9534C3}" name="Actual" totalsRowFunction="custom" dataDxfId="401" totalsRowDxfId="402">
      <totalsRowFormula>SUBTOTAL(9,Table20193344[Actual])</totalsRowFormula>
    </tableColumn>
    <tableColumn id="4" xr3:uid="{355C8FF8-CD14-4A78-89DA-1A2A71C79E7E}" name="Difference" totalsRowFunction="custom" dataDxfId="399" totalsRowDxfId="400">
      <calculatedColumnFormula>B32-C32</calculatedColumnFormula>
      <totalsRowFormula>SUBTOTAL(9,Table20193344[Difference])</totalsRowFormula>
    </tableColumn>
  </tableColumns>
  <tableStyleInfo name="V42_ExpenseTable" showFirstColumn="0" showLastColumn="1" showRowStripes="0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4185AAC6-0C76-4C2F-AC24-8C0FF05A10ED}" name="Table21233445" displayName="Table21233445" ref="A41:D49" totalsRowCount="1" headerRowDxfId="398" dataDxfId="397" headerRowBorderDxfId="395" tableBorderDxfId="396">
  <tableColumns count="4">
    <tableColumn id="1" xr3:uid="{9F9E8120-B517-42CE-9623-73495C04512B}" name="Salud" totalsRowFunction="custom" dataDxfId="393" totalsRowDxfId="394">
      <totalsRowFormula>"Total " &amp; Table21233445[[#Headers],[Salud]]</totalsRowFormula>
    </tableColumn>
    <tableColumn id="2" xr3:uid="{9F2FAE83-7ECE-4960-8CE4-D01D1C2C57F6}" name="Budget" totalsRowFunction="custom" dataDxfId="391" totalsRowDxfId="392">
      <totalsRowFormula>SUBTOTAL(9,Table21233445[Budget])</totalsRowFormula>
    </tableColumn>
    <tableColumn id="3" xr3:uid="{7BD5DB34-A21C-46F9-B432-B2B25FD86BBB}" name="Actual" totalsRowFunction="custom" dataDxfId="389" totalsRowDxfId="390">
      <totalsRowFormula>SUBTOTAL(9,Table21233445[Actual])</totalsRowFormula>
    </tableColumn>
    <tableColumn id="4" xr3:uid="{FB5D8C06-0798-4D61-B265-DB46BD6F77EE}" name="Difference" totalsRowFunction="custom" dataDxfId="387" totalsRowDxfId="388">
      <calculatedColumnFormula>B42-C42</calculatedColumnFormula>
      <totalsRowFormula>SUBTOTAL(9,Table21233445[Difference])</totalsRowFormula>
    </tableColumn>
  </tableColumns>
  <tableStyleInfo name="V42_ExpenseTable" showFirstColumn="0" showLastColumn="1" showRowStripes="0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A30DBEF-362C-4C5B-9034-8C4ACD842F54}" name="Table22243546" displayName="Table22243546" ref="A4:D13" totalsRowCount="1" headerRowDxfId="384" dataDxfId="383" headerRowBorderDxfId="381" tableBorderDxfId="382">
  <tableColumns count="4">
    <tableColumn id="1" xr3:uid="{74200C4D-5081-442D-8405-28D281400A2A}" name="INCOME" totalsRowFunction="custom" totalsRowDxfId="380">
      <totalsRowFormula>"Total " &amp; Table22243546[[#Headers],[INCOME]]</totalsRowFormula>
    </tableColumn>
    <tableColumn id="2" xr3:uid="{7F55B2B0-065D-4BF2-B5AF-EFA4D737A0EB}" name="Budget" totalsRowFunction="custom" totalsRowDxfId="379">
      <totalsRowFormula>SUBTOTAL(9,Table22243546[Budget])</totalsRowFormula>
    </tableColumn>
    <tableColumn id="3" xr3:uid="{407C60E9-B531-46FE-BA2D-65833882970A}" name="Actual" totalsRowFunction="custom" totalsRowDxfId="378">
      <totalsRowFormula>SUBTOTAL(9,Table22243546[Actual])</totalsRowFormula>
    </tableColumn>
    <tableColumn id="4" xr3:uid="{B6B5638C-5DCC-4DCB-AF39-802C32F2DB1E}" name="Difference" totalsRowFunction="custom" totalsRowDxfId="377">
      <calculatedColumnFormula>C5-B5</calculatedColumnFormula>
      <totalsRowFormula>SUBTOTAL(9,Table22243546[Difference])</totalsRowFormula>
    </tableColumn>
  </tableColumns>
  <tableStyleInfo name="V42_IncomeTable" showFirstColumn="0" showLastColumn="1" showRowStripes="0" showColumnStripes="0"/>
</table>
</file>

<file path=xl/tables/table4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6" xr:uid="{2EC5A837-77C4-4F15-9BBE-1FCEBE4D35CB}" name="Table54253647" displayName="Table54253647" ref="A15:D29" totalsRowCount="1" headerRowDxfId="376" dataDxfId="375" headerRowBorderDxfId="373" tableBorderDxfId="374">
  <tableColumns count="4">
    <tableColumn id="1" xr3:uid="{AC95492A-192B-466D-9C8F-870F945EAF71}" name="Gastos Vivienda" totalsRowFunction="custom" dataDxfId="371" totalsRowDxfId="372">
      <totalsRowFormula>"Total " &amp; Table54253647[[#Headers],[Gastos Vivienda]]</totalsRowFormula>
    </tableColumn>
    <tableColumn id="2" xr3:uid="{D20C1887-15B5-4C84-ABA0-ED238D3B9C9C}" name="Budget" totalsRowFunction="custom" dataDxfId="369" totalsRowDxfId="370">
      <totalsRowFormula>SUBTOTAL(9,Table54253647[Budget])</totalsRowFormula>
    </tableColumn>
    <tableColumn id="3" xr3:uid="{AB569571-E11C-493E-87BA-03A5B600173D}" name="Actual" totalsRowFunction="custom" dataDxfId="367" totalsRowDxfId="368">
      <totalsRowFormula>SUBTOTAL(9,Table54253647[Actual])</totalsRowFormula>
    </tableColumn>
    <tableColumn id="4" xr3:uid="{E4907B80-FAA9-4FB9-8819-A22BFBAB6909}" name="Difference" totalsRowFunction="custom" dataDxfId="365" totalsRowDxfId="366">
      <calculatedColumnFormula>B16-C16</calculatedColumnFormula>
      <totalsRowFormula>SUBTOTAL(9,Table54253647[Difference])</totalsRowFormula>
    </tableColumn>
  </tableColumns>
  <tableStyleInfo name="V42_ExpenseTable" showFirstColumn="0" showLastColumn="1" showRowStripes="0" showColumnStripes="0"/>
</table>
</file>

<file path=xl/tables/table4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7" xr:uid="{699001FC-A0B8-4102-B831-C648DB492B7D}" name="Table65263748" displayName="Table65263748" ref="F10:I21" totalsRowCount="1" headerRowDxfId="364" dataDxfId="363" headerRowBorderDxfId="361" tableBorderDxfId="362">
  <tableColumns count="4">
    <tableColumn id="1" xr3:uid="{D1903A54-5502-4CCC-8074-4312AC4855B5}" name="DAILY LIVING" totalsRowFunction="custom" dataDxfId="359" totalsRowDxfId="360">
      <totalsRowFormula>"Total " &amp; Table65263748[[#Headers],[DAILY LIVING]]</totalsRowFormula>
    </tableColumn>
    <tableColumn id="2" xr3:uid="{4B89C8FF-DD4F-4416-9213-D100FA4C1865}" name="Budget" totalsRowFunction="custom" dataDxfId="357" totalsRowDxfId="358">
      <totalsRowFormula>SUBTOTAL(9,Table65263748[Budget])</totalsRowFormula>
    </tableColumn>
    <tableColumn id="3" xr3:uid="{36E5D780-3F2A-4381-85CD-F5362B9E2D92}" name="Actual" totalsRowFunction="custom" dataDxfId="355" totalsRowDxfId="356">
      <totalsRowFormula>SUBTOTAL(9,Table65263748[Actual])</totalsRowFormula>
    </tableColumn>
    <tableColumn id="4" xr3:uid="{F1444EC6-AC64-4AC5-BB16-9F959C2AB6CB}" name="Difference" totalsRowFunction="custom" dataDxfId="353" totalsRowDxfId="354">
      <calculatedColumnFormula>G11-H11</calculatedColumnFormula>
      <totalsRowFormula>SUBTOTAL(9,Table65263748[Difference])</totalsRowFormula>
    </tableColumn>
  </tableColumns>
  <tableStyleInfo name="V42_ExpenseTable" showFirstColumn="0" showLastColumn="1" showRowStripes="0" showColumnStripes="0"/>
</table>
</file>

<file path=xl/tables/table4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8" xr:uid="{240BA236-8C75-4A24-B93B-C0BB6BA5E613}" name="Table710273849" displayName="Table710273849" ref="F23:I35" totalsRowCount="1" headerRowDxfId="352" dataDxfId="351" headerRowBorderDxfId="349" tableBorderDxfId="350">
  <tableColumns count="4">
    <tableColumn id="1" xr3:uid="{13CF824D-64EF-440A-A042-92E9C2EEFF2D}" name="Diversion " totalsRowFunction="custom" dataDxfId="347" totalsRowDxfId="348">
      <totalsRowFormula>"Total " &amp; Table710273849[[#Headers],[Diversion ]]</totalsRowFormula>
    </tableColumn>
    <tableColumn id="2" xr3:uid="{FDE2EBE7-1FA5-4A88-96BE-21381B3FBB22}" name="Budget" totalsRowFunction="custom" dataDxfId="345" totalsRowDxfId="346">
      <totalsRowFormula>SUBTOTAL(9,Table710273849[Budget])</totalsRowFormula>
    </tableColumn>
    <tableColumn id="3" xr3:uid="{C1D061C1-5D0B-4395-BEAB-D54B1B511D3F}" name="Actual" totalsRowFunction="custom" dataDxfId="343" totalsRowDxfId="344">
      <totalsRowFormula>SUBTOTAL(9,Table710273849[Actual])</totalsRowFormula>
    </tableColumn>
    <tableColumn id="4" xr3:uid="{AEF2631D-1B7A-4827-9F1F-9C2F9CF514A2}" name="Difference" totalsRowFunction="custom" dataDxfId="341" totalsRowDxfId="342">
      <calculatedColumnFormula>G24-H24</calculatedColumnFormula>
      <totalsRowFormula>SUBTOTAL(9,Table710273849[Difference])</totalsRowFormula>
    </tableColumn>
  </tableColumns>
  <tableStyleInfo name="V42_ExpenseTable" showFirstColumn="0" showLastColumn="1" showRowStripes="0" showColumnStripes="0"/>
</table>
</file>

<file path=xl/tables/table4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9" xr:uid="{4C0E842E-7D27-4C8C-AAD1-E7606F2A383A}" name="Table812283950" displayName="Table812283950" ref="F37:I45" totalsRowCount="1" headerRowDxfId="340" dataDxfId="339" headerRowBorderDxfId="337" tableBorderDxfId="338">
  <tableColumns count="4">
    <tableColumn id="1" xr3:uid="{F56828D3-1B05-4B1D-9296-3B0CBA805B07}" name="Ahorros" totalsRowFunction="custom" dataDxfId="335" totalsRowDxfId="336">
      <totalsRowFormula>"Total " &amp; Table812283950[[#Headers],[Ahorros]]</totalsRowFormula>
    </tableColumn>
    <tableColumn id="2" xr3:uid="{A19B955A-8673-427B-967E-1D79955A71E2}" name="Budget" totalsRowFunction="custom" dataDxfId="333" totalsRowDxfId="334">
      <totalsRowFormula>SUBTOTAL(9,Table812283950[Budget])</totalsRowFormula>
    </tableColumn>
    <tableColumn id="3" xr3:uid="{8F399A98-298B-4B32-9304-3ABBA66DC3C6}" name="Actual" totalsRowFunction="custom" dataDxfId="331" totalsRowDxfId="332">
      <totalsRowFormula>SUBTOTAL(9,Table812283950[Actual])</totalsRowFormula>
    </tableColumn>
    <tableColumn id="4" xr3:uid="{C0AC4AB0-60B3-49B9-9595-457A75D717A8}" name="Difference" totalsRowFunction="custom" dataDxfId="329" totalsRowDxfId="330">
      <calculatedColumnFormula>G38-H38</calculatedColumnFormula>
      <totalsRowFormula>SUBTOTAL(9,Table812283950[Difference])</totalsRowFormula>
    </tableColumn>
  </tableColumns>
  <tableStyleInfo name="V42_ExpenseTable" showFirstColumn="0" showLastColumn="1" showRowStripes="0" showColumnStripes="0"/>
</table>
</file>

<file path=xl/tables/table5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0" xr:uid="{A105648D-4C6B-49A8-9D60-EEED3B1B2308}" name="Table1013294051" displayName="Table1013294051" ref="F47:I56" totalsRowCount="1" headerRowDxfId="328" dataDxfId="327" headerRowBorderDxfId="326">
  <tableColumns count="4">
    <tableColumn id="1" xr3:uid="{8E8E2151-4F0B-4028-AF48-B3ED29948BAA}" name="Oblgiaciones " totalsRowFunction="custom" dataDxfId="324" totalsRowDxfId="325">
      <totalsRowFormula>"Total " &amp; Table1013294051[[#Headers],[Oblgiaciones ]]</totalsRowFormula>
    </tableColumn>
    <tableColumn id="2" xr3:uid="{31F8F635-8505-4C7A-8AF2-C716D0E9B886}" name="Budget" totalsRowFunction="custom" dataDxfId="322" totalsRowDxfId="323">
      <totalsRowFormula>SUBTOTAL(9,Table1013294051[Budget])</totalsRowFormula>
    </tableColumn>
    <tableColumn id="3" xr3:uid="{69741F6B-0252-4E9C-9FFB-9F7EE181BE70}" name="Actual" totalsRowFunction="custom" dataDxfId="320" totalsRowDxfId="321">
      <totalsRowFormula>SUBTOTAL(9,Table1013294051[Actual])</totalsRowFormula>
    </tableColumn>
    <tableColumn id="4" xr3:uid="{8601B3E3-15D0-4880-8A51-FBEDEA93EB6A}" name="Difference" totalsRowFunction="custom" dataDxfId="318" totalsRowDxfId="319">
      <calculatedColumnFormula>G48-H48</calculatedColumnFormula>
      <totalsRowFormula>SUBTOTAL(9,Table1013294051[Difference])</totalsRowFormula>
    </tableColumn>
  </tableColumns>
  <tableStyleInfo name="V42_ExpenseTable" showFirstColumn="0" showLastColumn="1" showRowStripes="0" showColumnStripes="0"/>
</table>
</file>

<file path=xl/tables/table5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1" xr:uid="{7CD9CC38-BA59-4636-B23B-97ADE46A929E}" name="Table1414304152" displayName="Table1414304152" ref="F58:I63" totalsRowCount="1" headerRowDxfId="317" dataDxfId="316" headerRowBorderDxfId="314" tableBorderDxfId="315">
  <tableColumns count="4">
    <tableColumn id="1" xr3:uid="{F0BDF18D-DF1F-40C1-A2BD-70B56AC82595}" name="Misc" totalsRowFunction="custom" dataDxfId="312" totalsRowDxfId="313">
      <totalsRowFormula>"Total " &amp; Table1414304152[[#Headers],[Misc]]</totalsRowFormula>
    </tableColumn>
    <tableColumn id="2" xr3:uid="{D85ED3DD-59F0-495E-B809-0C78D0CE85C9}" name="Budget" totalsRowFunction="custom" dataDxfId="310" totalsRowDxfId="311">
      <totalsRowFormula>SUBTOTAL(9,Table1414304152[Budget])</totalsRowFormula>
    </tableColumn>
    <tableColumn id="3" xr3:uid="{14333C8F-8939-4645-AB95-A55ECED58923}" name="Actual" totalsRowFunction="custom" dataDxfId="308" totalsRowDxfId="309">
      <totalsRowFormula>SUBTOTAL(9,Table1414304152[Actual])</totalsRowFormula>
    </tableColumn>
    <tableColumn id="4" xr3:uid="{96999F93-FB6A-4B46-B5F9-CC1B8D4B230A}" name="Difference" totalsRowFunction="custom" dataDxfId="306" totalsRowDxfId="307">
      <calculatedColumnFormula>G59-H59</calculatedColumnFormula>
      <totalsRowFormula>SUBTOTAL(9,Table1414304152[Difference])</totalsRowFormula>
    </tableColumn>
  </tableColumns>
  <tableStyleInfo name="V42_ExpenseTable" showFirstColumn="0" showLastColumn="1" showRowStripes="0" showColumnStripes="0"/>
</table>
</file>

<file path=xl/tables/table5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2" xr:uid="{48FCF9FA-73ED-4E50-B43A-EA818C116A2F}" name="Table1517314253" displayName="Table1517314253" ref="A58:D63" totalsRowCount="1" headerRowDxfId="305" dataDxfId="304" headerRowBorderDxfId="302" tableBorderDxfId="303">
  <tableColumns count="4">
    <tableColumn id="1" xr3:uid="{FB9E41DA-CA30-4A58-8233-4D15F679EE28}" name="Subscrpciones" totalsRowFunction="custom" dataDxfId="300" totalsRowDxfId="301">
      <totalsRowFormula>"Total " &amp; Table1517314253[[#Headers],[Subscrpciones]]</totalsRowFormula>
    </tableColumn>
    <tableColumn id="2" xr3:uid="{B23959FC-394A-4CAC-8656-D354BBBB7EED}" name="Budget" totalsRowFunction="custom" dataDxfId="298" totalsRowDxfId="299">
      <totalsRowFormula>SUBTOTAL(9,Table1517314253[Budget])</totalsRowFormula>
    </tableColumn>
    <tableColumn id="3" xr3:uid="{62D229EC-D84A-4538-9963-7CA08DA7EC91}" name="Actual" totalsRowFunction="custom" dataDxfId="296" totalsRowDxfId="297">
      <totalsRowFormula>SUBTOTAL(9,Table1517314253[Actual])</totalsRowFormula>
    </tableColumn>
    <tableColumn id="4" xr3:uid="{CE933D05-0179-43E9-A853-AAC5012657F3}" name="Difference" totalsRowFunction="custom" dataDxfId="294" totalsRowDxfId="295">
      <calculatedColumnFormula>B59-C59</calculatedColumnFormula>
      <totalsRowFormula>SUBTOTAL(9,Table1517314253[Difference])</totalsRowFormula>
    </tableColumn>
  </tableColumns>
  <tableStyleInfo name="V42_ExpenseTable" showFirstColumn="0" showLastColumn="1" showRowStripes="0" showColumnStripes="0"/>
</table>
</file>

<file path=xl/tables/table5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3" xr:uid="{E48F89BA-959B-4012-94BA-74463EB46D87}" name="Table1918324354" displayName="Table1918324354" ref="A51:D56" totalsRowCount="1" headerRowDxfId="293" dataDxfId="292" headerRowBorderDxfId="290" tableBorderDxfId="291">
  <tableColumns count="4">
    <tableColumn id="1" xr3:uid="{FCEE8D59-5D37-4D8E-8946-32DFCA51F49B}" name="CHARITY/GIFTS" totalsRowFunction="custom" dataDxfId="288" totalsRowDxfId="289">
      <totalsRowFormula>"Total " &amp; Table1918324354[[#Headers],[CHARITY/GIFTS]]</totalsRowFormula>
    </tableColumn>
    <tableColumn id="2" xr3:uid="{CF822130-E8FA-4E67-9372-E4178FB3D4D6}" name="Budget" totalsRowFunction="custom" dataDxfId="286" totalsRowDxfId="287">
      <totalsRowFormula>SUBTOTAL(9,Table1918324354[Budget])</totalsRowFormula>
    </tableColumn>
    <tableColumn id="3" xr3:uid="{C3541442-C681-4161-B2C2-05891EFE6CFB}" name="Actual" totalsRowFunction="custom" dataDxfId="284" totalsRowDxfId="285">
      <totalsRowFormula>SUBTOTAL(9,Table1918324354[Actual])</totalsRowFormula>
    </tableColumn>
    <tableColumn id="4" xr3:uid="{D1C6111D-5DE4-4B17-A353-829F2672C998}" name="Difference" totalsRowFunction="custom" dataDxfId="282" totalsRowDxfId="283">
      <calculatedColumnFormula>B52-C52</calculatedColumnFormula>
      <totalsRowFormula>SUBTOTAL(9,Table1918324354[Difference])</totalsRowFormula>
    </tableColumn>
  </tableColumns>
  <tableStyleInfo name="V42_ExpenseTable" showFirstColumn="0" showLastColumn="1" showRowStripes="0" showColumnStripes="0"/>
</table>
</file>

<file path=xl/tables/table5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4" xr:uid="{880B635C-EB53-48F6-9F86-DBBF118CAC38}" name="Table2019334455" displayName="Table2019334455" ref="A31:D39" totalsRowCount="1" headerRowDxfId="281" dataDxfId="280" headerRowBorderDxfId="278" tableBorderDxfId="279">
  <tableColumns count="4">
    <tableColumn id="1" xr3:uid="{AC8BA2F1-5B02-443F-AE57-5FF2BFDFEDC8}" name="Transporte" totalsRowFunction="custom" dataDxfId="276" totalsRowDxfId="277">
      <totalsRowFormula>"Total " &amp; Table2019334455[[#Headers],[Transporte]]</totalsRowFormula>
    </tableColumn>
    <tableColumn id="2" xr3:uid="{3427D4ED-500F-414D-BE00-0D92527EA2BB}" name="Budget" totalsRowFunction="custom" dataDxfId="274" totalsRowDxfId="275">
      <totalsRowFormula>SUBTOTAL(9,Table2019334455[Budget])</totalsRowFormula>
    </tableColumn>
    <tableColumn id="3" xr3:uid="{36866BBD-5389-4562-A35B-B5F65C8899DD}" name="Actual" totalsRowFunction="custom" dataDxfId="272" totalsRowDxfId="273">
      <totalsRowFormula>SUBTOTAL(9,Table2019334455[Actual])</totalsRowFormula>
    </tableColumn>
    <tableColumn id="4" xr3:uid="{C241E0D9-8D6B-41B2-9729-8CD1525DCA80}" name="Difference" totalsRowFunction="custom" dataDxfId="270" totalsRowDxfId="271">
      <calculatedColumnFormula>B32-C32</calculatedColumnFormula>
      <totalsRowFormula>SUBTOTAL(9,Table2019334455[Difference])</totalsRowFormula>
    </tableColumn>
  </tableColumns>
  <tableStyleInfo name="V42_ExpenseTable" showFirstColumn="0" showLastColumn="1" showRowStripes="0" showColumnStripes="0"/>
</table>
</file>

<file path=xl/tables/table5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5" xr:uid="{CB12CB36-E919-4C93-BFD5-142727CDDD8D}" name="Table2123344556" displayName="Table2123344556" ref="A41:D49" totalsRowCount="1" headerRowDxfId="269" dataDxfId="268" headerRowBorderDxfId="266" tableBorderDxfId="267">
  <tableColumns count="4">
    <tableColumn id="1" xr3:uid="{4980E6B8-4FCD-4FA4-BC3D-1FA4E746E573}" name="Salud" totalsRowFunction="custom" dataDxfId="264" totalsRowDxfId="265">
      <totalsRowFormula>"Total " &amp; Table2123344556[[#Headers],[Salud]]</totalsRowFormula>
    </tableColumn>
    <tableColumn id="2" xr3:uid="{40416ABE-D36E-43EB-9ED0-D291A3954782}" name="Budget" totalsRowFunction="custom" dataDxfId="262" totalsRowDxfId="263">
      <totalsRowFormula>SUBTOTAL(9,Table2123344556[Budget])</totalsRowFormula>
    </tableColumn>
    <tableColumn id="3" xr3:uid="{0A40CA31-7A1B-414F-8D2A-B4BB6A19F80A}" name="Actual" totalsRowFunction="custom" dataDxfId="260" totalsRowDxfId="261">
      <totalsRowFormula>SUBTOTAL(9,Table2123344556[Actual])</totalsRowFormula>
    </tableColumn>
    <tableColumn id="4" xr3:uid="{D8BDCBF6-36E1-407B-B3EA-1399E571941A}" name="Difference" totalsRowFunction="custom" dataDxfId="258" totalsRowDxfId="259">
      <calculatedColumnFormula>B42-C42</calculatedColumnFormula>
      <totalsRowFormula>SUBTOTAL(9,Table2123344556[Difference])</totalsRowFormula>
    </tableColumn>
  </tableColumns>
  <tableStyleInfo name="V42_ExpenseTable" showFirstColumn="0" showLastColumn="1" showRowStripes="0" showColumnStripes="0"/>
</table>
</file>

<file path=xl/tables/table5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6" xr:uid="{FA62ACB0-3BE6-4ABF-8EAD-6A7AB3E66E16}" name="Table2224354657" displayName="Table2224354657" ref="A4:D13" totalsRowCount="1" headerRowDxfId="255" dataDxfId="254" headerRowBorderDxfId="252" tableBorderDxfId="253">
  <tableColumns count="4">
    <tableColumn id="1" xr3:uid="{6C051333-12D1-431A-906C-537427268818}" name="INCOME" totalsRowFunction="custom" totalsRowDxfId="251">
      <totalsRowFormula>"Total " &amp; Table2224354657[[#Headers],[INCOME]]</totalsRowFormula>
    </tableColumn>
    <tableColumn id="2" xr3:uid="{1E207593-E1C0-4A31-B6D7-28F5683174C9}" name="Budget" totalsRowFunction="custom" totalsRowDxfId="250">
      <totalsRowFormula>SUBTOTAL(9,Table2224354657[Budget])</totalsRowFormula>
    </tableColumn>
    <tableColumn id="3" xr3:uid="{88D65453-E9DE-4B07-BA72-C0A8E70CC02A}" name="Actual" totalsRowFunction="custom" totalsRowDxfId="249">
      <totalsRowFormula>SUBTOTAL(9,Table2224354657[Actual])</totalsRowFormula>
    </tableColumn>
    <tableColumn id="4" xr3:uid="{6096F9CC-6851-4FD0-9D67-6C5821785BC9}" name="Difference" totalsRowFunction="custom" totalsRowDxfId="248">
      <calculatedColumnFormula>C5-B5</calculatedColumnFormula>
      <totalsRowFormula>SUBTOTAL(9,Table2224354657[Difference])</totalsRowFormula>
    </tableColumn>
  </tableColumns>
  <tableStyleInfo name="V42_IncomeTable" showFirstColumn="0" showLastColumn="1" showRowStripes="0" showColumnStripes="0"/>
</table>
</file>

<file path=xl/tables/table5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7" xr:uid="{62FA1350-1579-4A42-8CCF-83ECE270BE54}" name="Table5425364758" displayName="Table5425364758" ref="A15:D29" totalsRowCount="1" headerRowDxfId="247" dataDxfId="246" headerRowBorderDxfId="244" tableBorderDxfId="245">
  <tableColumns count="4">
    <tableColumn id="1" xr3:uid="{C1E0857B-F2C1-4803-AA81-5AE860304976}" name="Gastos Vivienda" totalsRowFunction="custom" dataDxfId="242" totalsRowDxfId="243">
      <totalsRowFormula>"Total " &amp; Table5425364758[[#Headers],[Gastos Vivienda]]</totalsRowFormula>
    </tableColumn>
    <tableColumn id="2" xr3:uid="{790E6A39-D5A1-4999-8D56-6DF21193ED09}" name="Budget" totalsRowFunction="custom" dataDxfId="240" totalsRowDxfId="241">
      <totalsRowFormula>SUBTOTAL(9,Table5425364758[Budget])</totalsRowFormula>
    </tableColumn>
    <tableColumn id="3" xr3:uid="{97AD2F64-CFF5-4968-9D26-D33ACE7CB672}" name="Actual" totalsRowFunction="custom" dataDxfId="238" totalsRowDxfId="239">
      <totalsRowFormula>SUBTOTAL(9,Table5425364758[Actual])</totalsRowFormula>
    </tableColumn>
    <tableColumn id="4" xr3:uid="{8A5F7263-FA1E-4D4C-80EF-4304AABE36C1}" name="Difference" totalsRowFunction="custom" dataDxfId="236" totalsRowDxfId="237">
      <calculatedColumnFormula>B16-C16</calculatedColumnFormula>
      <totalsRowFormula>SUBTOTAL(9,Table5425364758[Difference])</totalsRowFormula>
    </tableColumn>
  </tableColumns>
  <tableStyleInfo name="V42_ExpenseTable" showFirstColumn="0" showLastColumn="1" showRowStripes="0" showColumnStripes="0"/>
</table>
</file>

<file path=xl/tables/table5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8" xr:uid="{53FB28D2-99CB-43D1-AAA7-1235BFC91DD4}" name="Table6526374859" displayName="Table6526374859" ref="F10:I21" totalsRowCount="1" headerRowDxfId="235" dataDxfId="234" headerRowBorderDxfId="232" tableBorderDxfId="233">
  <tableColumns count="4">
    <tableColumn id="1" xr3:uid="{30F0AEC4-4C44-49E1-B35A-53276705D692}" name="DAILY LIVING" totalsRowFunction="custom" dataDxfId="230" totalsRowDxfId="231">
      <totalsRowFormula>"Total " &amp; Table6526374859[[#Headers],[DAILY LIVING]]</totalsRowFormula>
    </tableColumn>
    <tableColumn id="2" xr3:uid="{A669AA42-756D-4C96-A219-0F3BB311D12E}" name="Budget" totalsRowFunction="custom" dataDxfId="228" totalsRowDxfId="229">
      <totalsRowFormula>SUBTOTAL(9,Table6526374859[Budget])</totalsRowFormula>
    </tableColumn>
    <tableColumn id="3" xr3:uid="{2C559C38-19CA-4A1D-815E-8B4A8864C21B}" name="Actual" totalsRowFunction="custom" dataDxfId="226" totalsRowDxfId="227">
      <totalsRowFormula>SUBTOTAL(9,Table6526374859[Actual])</totalsRowFormula>
    </tableColumn>
    <tableColumn id="4" xr3:uid="{1EC22C49-195D-4889-9B49-9B5E18CC4BF3}" name="Difference" totalsRowFunction="custom" dataDxfId="224" totalsRowDxfId="225">
      <calculatedColumnFormula>G11-H11</calculatedColumnFormula>
      <totalsRowFormula>SUBTOTAL(9,Table6526374859[Difference])</totalsRowFormula>
    </tableColumn>
  </tableColumns>
  <tableStyleInfo name="V42_ExpenseTable" showFirstColumn="0" showLastColumn="1" showRowStripes="0" showColumnStripes="0"/>
</table>
</file>

<file path=xl/tables/table5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9" xr:uid="{6F98F0C3-D3A1-4B6F-AD30-8CFE5C7AD19E}" name="Table71027384960" displayName="Table71027384960" ref="F23:I35" totalsRowCount="1" headerRowDxfId="223" dataDxfId="222" headerRowBorderDxfId="220" tableBorderDxfId="221">
  <tableColumns count="4">
    <tableColumn id="1" xr3:uid="{6AEDDCDC-7DEF-4CC4-9702-20818FFD1AEA}" name="Diversion " totalsRowFunction="custom" dataDxfId="218" totalsRowDxfId="219">
      <totalsRowFormula>"Total " &amp; Table71027384960[[#Headers],[Diversion ]]</totalsRowFormula>
    </tableColumn>
    <tableColumn id="2" xr3:uid="{E7A384A6-25BB-487E-8EAE-7065723201A8}" name="Budget" totalsRowFunction="custom" dataDxfId="216" totalsRowDxfId="217">
      <totalsRowFormula>SUBTOTAL(9,Table71027384960[Budget])</totalsRowFormula>
    </tableColumn>
    <tableColumn id="3" xr3:uid="{27EC4909-B0C7-4048-AF18-A69699A74E56}" name="Actual" totalsRowFunction="custom" dataDxfId="214" totalsRowDxfId="215">
      <totalsRowFormula>SUBTOTAL(9,Table71027384960[Actual])</totalsRowFormula>
    </tableColumn>
    <tableColumn id="4" xr3:uid="{438D60FC-8A8A-46CA-A6FF-E9475637746E}" name="Difference" totalsRowFunction="custom" dataDxfId="212" totalsRowDxfId="213">
      <calculatedColumnFormula>G24-H24</calculatedColumnFormula>
      <totalsRowFormula>SUBTOTAL(9,Table71027384960[Difference])</totalsRowFormula>
    </tableColumn>
  </tableColumns>
  <tableStyleInfo name="V42_ExpenseTable" showFirstColumn="0" showLastColumn="1" showRowStripes="0" showColumnStripes="0"/>
</table>
</file>

<file path=xl/tables/table6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0" xr:uid="{4CC9227E-9C27-40FA-8AD2-EB32F4952712}" name="Table81228395061" displayName="Table81228395061" ref="F37:I45" totalsRowCount="1" headerRowDxfId="211" dataDxfId="210" headerRowBorderDxfId="208" tableBorderDxfId="209">
  <tableColumns count="4">
    <tableColumn id="1" xr3:uid="{B24CF246-08AA-4884-8623-D21FB98D4A2B}" name="Ahorros" totalsRowFunction="custom" dataDxfId="206" totalsRowDxfId="207">
      <totalsRowFormula>"Total " &amp; Table81228395061[[#Headers],[Ahorros]]</totalsRowFormula>
    </tableColumn>
    <tableColumn id="2" xr3:uid="{9AE314BE-8001-4AAB-9D14-32674710B9DB}" name="Budget" totalsRowFunction="custom" dataDxfId="204" totalsRowDxfId="205">
      <totalsRowFormula>SUBTOTAL(9,Table81228395061[Budget])</totalsRowFormula>
    </tableColumn>
    <tableColumn id="3" xr3:uid="{FF1AB058-3F8A-4091-B1A0-F66AD04525D1}" name="Actual" totalsRowFunction="custom" dataDxfId="202" totalsRowDxfId="203">
      <totalsRowFormula>SUBTOTAL(9,Table81228395061[Actual])</totalsRowFormula>
    </tableColumn>
    <tableColumn id="4" xr3:uid="{B6A6D841-6D7A-44CE-99F2-747A877A54A1}" name="Difference" totalsRowFunction="custom" dataDxfId="200" totalsRowDxfId="201">
      <calculatedColumnFormula>G38-H38</calculatedColumnFormula>
      <totalsRowFormula>SUBTOTAL(9,Table81228395061[Difference])</totalsRowFormula>
    </tableColumn>
  </tableColumns>
  <tableStyleInfo name="V42_ExpenseTable" showFirstColumn="0" showLastColumn="1" showRowStripes="0" showColumnStripes="0"/>
</table>
</file>

<file path=xl/tables/table6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1" xr:uid="{D35E4F7E-1162-4FE4-A84D-323FDDDCBC88}" name="Table101329405162" displayName="Table101329405162" ref="F47:I56" totalsRowCount="1" headerRowDxfId="199" dataDxfId="198" headerRowBorderDxfId="197">
  <tableColumns count="4">
    <tableColumn id="1" xr3:uid="{5B3C8954-D97B-410B-A89D-2CC6EFD115AF}" name="Oblgiaciones " totalsRowFunction="custom" dataDxfId="195" totalsRowDxfId="196">
      <totalsRowFormula>"Total " &amp; Table101329405162[[#Headers],[Oblgiaciones ]]</totalsRowFormula>
    </tableColumn>
    <tableColumn id="2" xr3:uid="{F43BEA83-0D57-43D4-89D4-D11FA0F31F24}" name="Budget" totalsRowFunction="custom" dataDxfId="193" totalsRowDxfId="194">
      <totalsRowFormula>SUBTOTAL(9,Table101329405162[Budget])</totalsRowFormula>
    </tableColumn>
    <tableColumn id="3" xr3:uid="{4F0B7A81-D195-4ACD-8DCE-BD7AED4DC2A8}" name="Actual" totalsRowFunction="custom" dataDxfId="191" totalsRowDxfId="192">
      <totalsRowFormula>SUBTOTAL(9,Table101329405162[Actual])</totalsRowFormula>
    </tableColumn>
    <tableColumn id="4" xr3:uid="{978D1957-B03B-48BE-9147-BFD5585391BA}" name="Difference" totalsRowFunction="custom" dataDxfId="189" totalsRowDxfId="190">
      <calculatedColumnFormula>G48-H48</calculatedColumnFormula>
      <totalsRowFormula>SUBTOTAL(9,Table101329405162[Difference])</totalsRowFormula>
    </tableColumn>
  </tableColumns>
  <tableStyleInfo name="V42_ExpenseTable" showFirstColumn="0" showLastColumn="1" showRowStripes="0" showColumnStripes="0"/>
</table>
</file>

<file path=xl/tables/table6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2" xr:uid="{2132EDEE-5591-4CD3-BFFF-4538C15960E7}" name="Table141430415263" displayName="Table141430415263" ref="F58:I63" totalsRowCount="1" headerRowDxfId="188" dataDxfId="187" headerRowBorderDxfId="185" tableBorderDxfId="186">
  <tableColumns count="4">
    <tableColumn id="1" xr3:uid="{75EFED58-0656-457F-900C-22C2B63501B8}" name="Misc" totalsRowFunction="custom" dataDxfId="183" totalsRowDxfId="184">
      <totalsRowFormula>"Total " &amp; Table141430415263[[#Headers],[Misc]]</totalsRowFormula>
    </tableColumn>
    <tableColumn id="2" xr3:uid="{002B55C8-510D-4C17-BDD9-AE62F9AEB558}" name="Budget" totalsRowFunction="custom" dataDxfId="181" totalsRowDxfId="182">
      <totalsRowFormula>SUBTOTAL(9,Table141430415263[Budget])</totalsRowFormula>
    </tableColumn>
    <tableColumn id="3" xr3:uid="{40FEE8BB-F493-408B-BAA8-CC693919A2D2}" name="Actual" totalsRowFunction="custom" dataDxfId="179" totalsRowDxfId="180">
      <totalsRowFormula>SUBTOTAL(9,Table141430415263[Actual])</totalsRowFormula>
    </tableColumn>
    <tableColumn id="4" xr3:uid="{A95E83FC-D781-4178-8594-76873AA36F57}" name="Difference" totalsRowFunction="custom" dataDxfId="177" totalsRowDxfId="178">
      <calculatedColumnFormula>G59-H59</calculatedColumnFormula>
      <totalsRowFormula>SUBTOTAL(9,Table141430415263[Difference])</totalsRowFormula>
    </tableColumn>
  </tableColumns>
  <tableStyleInfo name="V42_ExpenseTable" showFirstColumn="0" showLastColumn="1" showRowStripes="0" showColumnStripes="0"/>
</table>
</file>

<file path=xl/tables/table6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3" xr:uid="{F33F9808-02B9-4E38-AD1D-9EC684FE4A7B}" name="Table151731425364" displayName="Table151731425364" ref="A58:D63" totalsRowCount="1" headerRowDxfId="176" dataDxfId="175" headerRowBorderDxfId="173" tableBorderDxfId="174">
  <tableColumns count="4">
    <tableColumn id="1" xr3:uid="{2D76DE61-ECB2-40FF-A62E-76B7504AD0F8}" name="Subscrpciones" totalsRowFunction="custom" dataDxfId="171" totalsRowDxfId="172">
      <totalsRowFormula>"Total " &amp; Table151731425364[[#Headers],[Subscrpciones]]</totalsRowFormula>
    </tableColumn>
    <tableColumn id="2" xr3:uid="{486B1F44-A661-4150-93BB-4086B1F9358C}" name="Budget" totalsRowFunction="custom" dataDxfId="169" totalsRowDxfId="170">
      <totalsRowFormula>SUBTOTAL(9,Table151731425364[Budget])</totalsRowFormula>
    </tableColumn>
    <tableColumn id="3" xr3:uid="{2D37560C-C395-43DD-BD3E-2C35446DF511}" name="Actual" totalsRowFunction="custom" dataDxfId="167" totalsRowDxfId="168">
      <totalsRowFormula>SUBTOTAL(9,Table151731425364[Actual])</totalsRowFormula>
    </tableColumn>
    <tableColumn id="4" xr3:uid="{9BBB55B8-2F7B-47D0-B037-09EBAC3FF56E}" name="Difference" totalsRowFunction="custom" dataDxfId="165" totalsRowDxfId="166">
      <calculatedColumnFormula>B59-C59</calculatedColumnFormula>
      <totalsRowFormula>SUBTOTAL(9,Table151731425364[Difference])</totalsRowFormula>
    </tableColumn>
  </tableColumns>
  <tableStyleInfo name="V42_ExpenseTable" showFirstColumn="0" showLastColumn="1" showRowStripes="0" showColumnStripes="0"/>
</table>
</file>

<file path=xl/tables/table6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4" xr:uid="{66C7CD03-F99C-4D7D-A939-6168CB1822F5}" name="Table191832435465" displayName="Table191832435465" ref="A51:D56" totalsRowCount="1" headerRowDxfId="164" dataDxfId="163" headerRowBorderDxfId="161" tableBorderDxfId="162">
  <tableColumns count="4">
    <tableColumn id="1" xr3:uid="{4DF767D5-FD45-40C9-89BF-7E7D1C704E89}" name="CHARITY/GIFTS" totalsRowFunction="custom" dataDxfId="159" totalsRowDxfId="160">
      <totalsRowFormula>"Total " &amp; Table191832435465[[#Headers],[CHARITY/GIFTS]]</totalsRowFormula>
    </tableColumn>
    <tableColumn id="2" xr3:uid="{24E868E6-1BAD-490F-AD24-DBA5EDE0BAD2}" name="Budget" totalsRowFunction="custom" dataDxfId="157" totalsRowDxfId="158">
      <totalsRowFormula>SUBTOTAL(9,Table191832435465[Budget])</totalsRowFormula>
    </tableColumn>
    <tableColumn id="3" xr3:uid="{92B8348B-2949-435B-A8B6-164692EB2398}" name="Actual" totalsRowFunction="custom" dataDxfId="155" totalsRowDxfId="156">
      <totalsRowFormula>SUBTOTAL(9,Table191832435465[Actual])</totalsRowFormula>
    </tableColumn>
    <tableColumn id="4" xr3:uid="{CDCC78C6-AC5F-47BC-B23A-7FFD8D3A5BA2}" name="Difference" totalsRowFunction="custom" dataDxfId="153" totalsRowDxfId="154">
      <calculatedColumnFormula>B52-C52</calculatedColumnFormula>
      <totalsRowFormula>SUBTOTAL(9,Table191832435465[Difference])</totalsRowFormula>
    </tableColumn>
  </tableColumns>
  <tableStyleInfo name="V42_ExpenseTable" showFirstColumn="0" showLastColumn="1" showRowStripes="0" showColumnStripes="0"/>
</table>
</file>

<file path=xl/tables/table6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5" xr:uid="{10FE83F3-7C3F-436B-B794-924C789728BA}" name="Table201933445566" displayName="Table201933445566" ref="A31:D39" totalsRowCount="1" headerRowDxfId="152" dataDxfId="151" headerRowBorderDxfId="149" tableBorderDxfId="150">
  <tableColumns count="4">
    <tableColumn id="1" xr3:uid="{24293D7D-C8B3-4415-8DD0-9B17B7CD0FCB}" name="Transporte" totalsRowFunction="custom" dataDxfId="147" totalsRowDxfId="148">
      <totalsRowFormula>"Total " &amp; Table201933445566[[#Headers],[Transporte]]</totalsRowFormula>
    </tableColumn>
    <tableColumn id="2" xr3:uid="{A16BF2FE-AE06-4847-803D-31FD13D5CA60}" name="Budget" totalsRowFunction="custom" dataDxfId="145" totalsRowDxfId="146">
      <totalsRowFormula>SUBTOTAL(9,Table201933445566[Budget])</totalsRowFormula>
    </tableColumn>
    <tableColumn id="3" xr3:uid="{143A5289-F33A-41B3-A557-871B21CF7B2D}" name="Actual" totalsRowFunction="custom" dataDxfId="143" totalsRowDxfId="144">
      <totalsRowFormula>SUBTOTAL(9,Table201933445566[Actual])</totalsRowFormula>
    </tableColumn>
    <tableColumn id="4" xr3:uid="{29F51BD6-52F2-4D46-883F-C1C1A7256283}" name="Difference" totalsRowFunction="custom" dataDxfId="141" totalsRowDxfId="142">
      <calculatedColumnFormula>B32-C32</calculatedColumnFormula>
      <totalsRowFormula>SUBTOTAL(9,Table201933445566[Difference])</totalsRowFormula>
    </tableColumn>
  </tableColumns>
  <tableStyleInfo name="V42_ExpenseTable" showFirstColumn="0" showLastColumn="1" showRowStripes="0" showColumnStripes="0"/>
</table>
</file>

<file path=xl/tables/table6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6" xr:uid="{A8ACC293-CD66-4639-97BF-335B7CB8250B}" name="Table212334455667" displayName="Table212334455667" ref="A41:D49" totalsRowCount="1" headerRowDxfId="140" dataDxfId="139" headerRowBorderDxfId="137" tableBorderDxfId="138">
  <tableColumns count="4">
    <tableColumn id="1" xr3:uid="{0316EA1F-EF22-4360-B335-83F05FC3C25F}" name="Salud" totalsRowFunction="custom" dataDxfId="135" totalsRowDxfId="136">
      <totalsRowFormula>"Total " &amp; Table212334455667[[#Headers],[Salud]]</totalsRowFormula>
    </tableColumn>
    <tableColumn id="2" xr3:uid="{15085EC6-B2C9-495F-BC20-4460FFEA5589}" name="Budget" totalsRowFunction="custom" dataDxfId="133" totalsRowDxfId="134">
      <totalsRowFormula>SUBTOTAL(9,Table212334455667[Budget])</totalsRowFormula>
    </tableColumn>
    <tableColumn id="3" xr3:uid="{E43139C6-E708-45E7-ACF7-55FC5D60AB94}" name="Actual" totalsRowFunction="custom" dataDxfId="131" totalsRowDxfId="132">
      <totalsRowFormula>SUBTOTAL(9,Table212334455667[Actual])</totalsRowFormula>
    </tableColumn>
    <tableColumn id="4" xr3:uid="{430FDE6E-C88F-4E85-A479-337C1A9A5D93}" name="Difference" totalsRowFunction="custom" dataDxfId="129" totalsRowDxfId="130">
      <calculatedColumnFormula>B42-C42</calculatedColumnFormula>
      <totalsRowFormula>SUBTOTAL(9,Table212334455667[Difference])</totalsRowFormula>
    </tableColumn>
  </tableColumns>
  <tableStyleInfo name="V42_ExpenseTable" showFirstColumn="0" showLastColumn="1" showRowStripes="0" showColumnStripes="0"/>
</table>
</file>

<file path=xl/tables/table6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7" xr:uid="{0086277A-F4A6-4D80-B792-9A87E35065C9}" name="Table222435465768" displayName="Table222435465768" ref="A4:D13" totalsRowCount="1" headerRowDxfId="126" dataDxfId="125" headerRowBorderDxfId="123" tableBorderDxfId="124">
  <tableColumns count="4">
    <tableColumn id="1" xr3:uid="{50A47C6B-6905-48B1-BB31-CD05B06459ED}" name="INCOME" totalsRowFunction="custom" totalsRowDxfId="122">
      <totalsRowFormula>"Total " &amp; Table222435465768[[#Headers],[INCOME]]</totalsRowFormula>
    </tableColumn>
    <tableColumn id="2" xr3:uid="{F9EC3453-04C9-47A4-AA75-F3CB91B339C9}" name="Budget" totalsRowFunction="custom" totalsRowDxfId="121">
      <totalsRowFormula>SUBTOTAL(9,Table222435465768[Budget])</totalsRowFormula>
    </tableColumn>
    <tableColumn id="3" xr3:uid="{7FB586D9-DF85-4E5F-81CF-3F9A95A9C999}" name="Actual" totalsRowFunction="custom" totalsRowDxfId="120">
      <totalsRowFormula>SUBTOTAL(9,Table222435465768[Actual])</totalsRowFormula>
    </tableColumn>
    <tableColumn id="4" xr3:uid="{18A3CEC0-B59B-4A81-9DB6-16F569625D3B}" name="Difference" totalsRowFunction="custom" totalsRowDxfId="119">
      <calculatedColumnFormula>C5-B5</calculatedColumnFormula>
      <totalsRowFormula>SUBTOTAL(9,Table222435465768[Difference])</totalsRowFormula>
    </tableColumn>
  </tableColumns>
  <tableStyleInfo name="V42_IncomeTable" showFirstColumn="0" showLastColumn="1" showRowStripes="0" showColumnStripes="0"/>
</table>
</file>

<file path=xl/tables/table6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8" xr:uid="{D458B42D-D8DE-49DF-B812-1E633BA30814}" name="Table542536475869" displayName="Table542536475869" ref="A15:D29" totalsRowCount="1" headerRowDxfId="118" dataDxfId="117" headerRowBorderDxfId="115" tableBorderDxfId="116">
  <tableColumns count="4">
    <tableColumn id="1" xr3:uid="{9FC4F976-A6D0-4906-B9FC-DCE0EAB30362}" name="Gastos Vivienda" totalsRowFunction="custom" dataDxfId="113" totalsRowDxfId="114">
      <totalsRowFormula>"Total " &amp; Table542536475869[[#Headers],[Gastos Vivienda]]</totalsRowFormula>
    </tableColumn>
    <tableColumn id="2" xr3:uid="{1F7D6999-059B-4E17-A74F-C3828DCE538E}" name="Budget" totalsRowFunction="custom" dataDxfId="111" totalsRowDxfId="112">
      <totalsRowFormula>SUBTOTAL(9,Table542536475869[Budget])</totalsRowFormula>
    </tableColumn>
    <tableColumn id="3" xr3:uid="{02F748A2-295E-4AF1-96A0-4C76558EF573}" name="Actual" totalsRowFunction="custom" dataDxfId="109" totalsRowDxfId="110">
      <totalsRowFormula>SUBTOTAL(9,Table542536475869[Actual])</totalsRowFormula>
    </tableColumn>
    <tableColumn id="4" xr3:uid="{EFEA5F79-FC46-4219-B1D3-D99165C2347B}" name="Difference" totalsRowFunction="custom" dataDxfId="107" totalsRowDxfId="108">
      <calculatedColumnFormula>B16-C16</calculatedColumnFormula>
      <totalsRowFormula>SUBTOTAL(9,Table542536475869[Difference])</totalsRowFormula>
    </tableColumn>
  </tableColumns>
  <tableStyleInfo name="V42_ExpenseTable" showFirstColumn="0" showLastColumn="1" showRowStripes="0" showColumnStripes="0"/>
</table>
</file>

<file path=xl/tables/table6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9" xr:uid="{73524705-EF61-4A08-9D3A-D46AA4B1AACF}" name="Table652637485970" displayName="Table652637485970" ref="F10:I21" totalsRowCount="1" headerRowDxfId="106" dataDxfId="105" headerRowBorderDxfId="103" tableBorderDxfId="104">
  <tableColumns count="4">
    <tableColumn id="1" xr3:uid="{DB69F1CA-6326-4686-A62A-EF908D44CC5A}" name="DAILY LIVING" totalsRowFunction="custom" dataDxfId="101" totalsRowDxfId="102">
      <totalsRowFormula>"Total " &amp; Table652637485970[[#Headers],[DAILY LIVING]]</totalsRowFormula>
    </tableColumn>
    <tableColumn id="2" xr3:uid="{BB8B7C13-5173-409F-8F4B-50D990FCA904}" name="Budget" totalsRowFunction="custom" dataDxfId="99" totalsRowDxfId="100">
      <totalsRowFormula>SUBTOTAL(9,Table652637485970[Budget])</totalsRowFormula>
    </tableColumn>
    <tableColumn id="3" xr3:uid="{E2516CAE-BB23-4DDD-AE18-C3D7249ABF98}" name="Actual" totalsRowFunction="custom" dataDxfId="97" totalsRowDxfId="98">
      <totalsRowFormula>SUBTOTAL(9,Table652637485970[Actual])</totalsRowFormula>
    </tableColumn>
    <tableColumn id="4" xr3:uid="{AEB46690-4D4A-4F43-B8E0-425D679DA63A}" name="Difference" totalsRowFunction="custom" dataDxfId="95" totalsRowDxfId="96">
      <calculatedColumnFormula>G11-H11</calculatedColumnFormula>
      <totalsRowFormula>SUBTOTAL(9,Table652637485970[Difference])</totalsRowFormula>
    </tableColumn>
  </tableColumns>
  <tableStyleInfo name="V42_ExpenseTable" showFirstColumn="0" showLastColumn="1" showRowStripes="0" showColumnStripes="0"/>
</table>
</file>

<file path=xl/tables/table7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0" xr:uid="{C43843E8-BCC1-48F5-8AEA-F3AA864A710A}" name="Table7102738496071" displayName="Table7102738496071" ref="F23:I35" totalsRowCount="1" headerRowDxfId="94" dataDxfId="93" headerRowBorderDxfId="91" tableBorderDxfId="92">
  <tableColumns count="4">
    <tableColumn id="1" xr3:uid="{75A74C36-1E9F-4421-8EF1-7B321E593C28}" name="Diversion " totalsRowFunction="custom" dataDxfId="89" totalsRowDxfId="90">
      <totalsRowFormula>"Total " &amp; Table7102738496071[[#Headers],[Diversion ]]</totalsRowFormula>
    </tableColumn>
    <tableColumn id="2" xr3:uid="{C5A9A82D-664A-44ED-9626-066C63191504}" name="Budget" totalsRowFunction="custom" dataDxfId="87" totalsRowDxfId="88">
      <totalsRowFormula>SUBTOTAL(9,Table7102738496071[Budget])</totalsRowFormula>
    </tableColumn>
    <tableColumn id="3" xr3:uid="{BCAAB6B4-F988-46BB-B1A4-B30B440C1159}" name="Actual" totalsRowFunction="custom" dataDxfId="85" totalsRowDxfId="86">
      <totalsRowFormula>SUBTOTAL(9,Table7102738496071[Actual])</totalsRowFormula>
    </tableColumn>
    <tableColumn id="4" xr3:uid="{205F4312-76FA-4A41-A879-662E40541DE9}" name="Difference" totalsRowFunction="custom" dataDxfId="83" totalsRowDxfId="84">
      <calculatedColumnFormula>G24-H24</calculatedColumnFormula>
      <totalsRowFormula>SUBTOTAL(9,Table7102738496071[Difference])</totalsRowFormula>
    </tableColumn>
  </tableColumns>
  <tableStyleInfo name="V42_ExpenseTable" showFirstColumn="0" showLastColumn="1" showRowStripes="0" showColumnStripes="0"/>
</table>
</file>

<file path=xl/tables/table7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1" xr:uid="{A087DEBA-333E-48F5-8D0E-FC6A15A2E02E}" name="Table8122839506172" displayName="Table8122839506172" ref="F37:I45" totalsRowCount="1" headerRowDxfId="82" dataDxfId="81" headerRowBorderDxfId="79" tableBorderDxfId="80">
  <tableColumns count="4">
    <tableColumn id="1" xr3:uid="{0951DFFE-65AF-435F-8135-9AAEDE07D678}" name="Ahorros" totalsRowFunction="custom" dataDxfId="77" totalsRowDxfId="78">
      <totalsRowFormula>"Total " &amp; Table8122839506172[[#Headers],[Ahorros]]</totalsRowFormula>
    </tableColumn>
    <tableColumn id="2" xr3:uid="{864F6605-CE4E-4CDD-BD8A-724715B4F3B8}" name="Budget" totalsRowFunction="custom" dataDxfId="75" totalsRowDxfId="76">
      <totalsRowFormula>SUBTOTAL(9,Table8122839506172[Budget])</totalsRowFormula>
    </tableColumn>
    <tableColumn id="3" xr3:uid="{39CF85C1-281A-45C2-8383-B46FF58080D9}" name="Actual" totalsRowFunction="custom" dataDxfId="73" totalsRowDxfId="74">
      <totalsRowFormula>SUBTOTAL(9,Table8122839506172[Actual])</totalsRowFormula>
    </tableColumn>
    <tableColumn id="4" xr3:uid="{95016ED9-7347-4FF2-8A7A-D47D0DD1C220}" name="Difference" totalsRowFunction="custom" dataDxfId="71" totalsRowDxfId="72">
      <calculatedColumnFormula>G38-H38</calculatedColumnFormula>
      <totalsRowFormula>SUBTOTAL(9,Table8122839506172[Difference])</totalsRowFormula>
    </tableColumn>
  </tableColumns>
  <tableStyleInfo name="V42_ExpenseTable" showFirstColumn="0" showLastColumn="1" showRowStripes="0" showColumnStripes="0"/>
</table>
</file>

<file path=xl/tables/table7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2" xr:uid="{DAC79154-875E-4393-89BA-FEA7A38D0DE3}" name="Table10132940516273" displayName="Table10132940516273" ref="F47:I56" totalsRowCount="1" headerRowDxfId="70" dataDxfId="69" headerRowBorderDxfId="68">
  <tableColumns count="4">
    <tableColumn id="1" xr3:uid="{2F250586-C3A4-40BD-AD67-B712E4A2947B}" name="Oblgiaciones " totalsRowFunction="custom" dataDxfId="66" totalsRowDxfId="67">
      <totalsRowFormula>"Total " &amp; Table10132940516273[[#Headers],[Oblgiaciones ]]</totalsRowFormula>
    </tableColumn>
    <tableColumn id="2" xr3:uid="{41B4EBB5-2E95-4193-ACF3-C501C1BE4BE7}" name="Budget" totalsRowFunction="custom" dataDxfId="64" totalsRowDxfId="65">
      <totalsRowFormula>SUBTOTAL(9,Table10132940516273[Budget])</totalsRowFormula>
    </tableColumn>
    <tableColumn id="3" xr3:uid="{FF670B2C-2AE9-4D61-BAB7-FAB0853D45C8}" name="Actual" totalsRowFunction="custom" dataDxfId="62" totalsRowDxfId="63">
      <totalsRowFormula>SUBTOTAL(9,Table10132940516273[Actual])</totalsRowFormula>
    </tableColumn>
    <tableColumn id="4" xr3:uid="{1A12A8AA-4DA1-4646-B69F-33F75D37CD94}" name="Difference" totalsRowFunction="custom" dataDxfId="60" totalsRowDxfId="61">
      <calculatedColumnFormula>G48-H48</calculatedColumnFormula>
      <totalsRowFormula>SUBTOTAL(9,Table10132940516273[Difference])</totalsRowFormula>
    </tableColumn>
  </tableColumns>
  <tableStyleInfo name="V42_ExpenseTable" showFirstColumn="0" showLastColumn="1" showRowStripes="0" showColumnStripes="0"/>
</table>
</file>

<file path=xl/tables/table7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3" xr:uid="{108EF1DF-142A-4D04-BBD5-548B172436A6}" name="Table14143041526374" displayName="Table14143041526374" ref="F58:I63" totalsRowCount="1" headerRowDxfId="59" dataDxfId="58" headerRowBorderDxfId="56" tableBorderDxfId="57">
  <tableColumns count="4">
    <tableColumn id="1" xr3:uid="{D4B7BDDA-60B1-46F3-925C-E2E5636ADD38}" name="Misc" totalsRowFunction="custom" dataDxfId="54" totalsRowDxfId="55">
      <totalsRowFormula>"Total " &amp; Table14143041526374[[#Headers],[Misc]]</totalsRowFormula>
    </tableColumn>
    <tableColumn id="2" xr3:uid="{65957EB0-6AB7-4FCC-B830-8AC24F42C83E}" name="Budget" totalsRowFunction="custom" dataDxfId="52" totalsRowDxfId="53">
      <totalsRowFormula>SUBTOTAL(9,Table14143041526374[Budget])</totalsRowFormula>
    </tableColumn>
    <tableColumn id="3" xr3:uid="{482D9522-7117-4C85-8896-F29E53AFB513}" name="Actual" totalsRowFunction="custom" dataDxfId="50" totalsRowDxfId="51">
      <totalsRowFormula>SUBTOTAL(9,Table14143041526374[Actual])</totalsRowFormula>
    </tableColumn>
    <tableColumn id="4" xr3:uid="{FC969924-734E-4A7C-B5DE-8D0182CFC5C6}" name="Difference" totalsRowFunction="custom" dataDxfId="48" totalsRowDxfId="49">
      <calculatedColumnFormula>G59-H59</calculatedColumnFormula>
      <totalsRowFormula>SUBTOTAL(9,Table14143041526374[Difference])</totalsRowFormula>
    </tableColumn>
  </tableColumns>
  <tableStyleInfo name="V42_ExpenseTable" showFirstColumn="0" showLastColumn="1" showRowStripes="0" showColumnStripes="0"/>
</table>
</file>

<file path=xl/tables/table7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4" xr:uid="{0B1CD597-9734-4269-8BA4-4FCC0C71B066}" name="Table15173142536475" displayName="Table15173142536475" ref="A58:D63" totalsRowCount="1" headerRowDxfId="47" dataDxfId="46" headerRowBorderDxfId="44" tableBorderDxfId="45">
  <tableColumns count="4">
    <tableColumn id="1" xr3:uid="{6473FCED-52AB-46EE-BC0B-BE734D2300C4}" name="Subscrpciones" totalsRowFunction="custom" dataDxfId="42" totalsRowDxfId="43">
      <totalsRowFormula>"Total " &amp; Table15173142536475[[#Headers],[Subscrpciones]]</totalsRowFormula>
    </tableColumn>
    <tableColumn id="2" xr3:uid="{7678D1D6-2BFE-4A81-A725-A0CD451E810D}" name="Budget" totalsRowFunction="custom" dataDxfId="40" totalsRowDxfId="41">
      <totalsRowFormula>SUBTOTAL(9,Table15173142536475[Budget])</totalsRowFormula>
    </tableColumn>
    <tableColumn id="3" xr3:uid="{6E83884D-8BAB-4D88-8A36-E0E6E3B48BBA}" name="Actual" totalsRowFunction="custom" dataDxfId="38" totalsRowDxfId="39">
      <totalsRowFormula>SUBTOTAL(9,Table15173142536475[Actual])</totalsRowFormula>
    </tableColumn>
    <tableColumn id="4" xr3:uid="{4C1E437D-CDEF-45C2-9D22-61A86B91C4A3}" name="Difference" totalsRowFunction="custom" dataDxfId="36" totalsRowDxfId="37">
      <calculatedColumnFormula>B59-C59</calculatedColumnFormula>
      <totalsRowFormula>SUBTOTAL(9,Table15173142536475[Difference])</totalsRowFormula>
    </tableColumn>
  </tableColumns>
  <tableStyleInfo name="V42_ExpenseTable" showFirstColumn="0" showLastColumn="1" showRowStripes="0" showColumnStripes="0"/>
</table>
</file>

<file path=xl/tables/table7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5" xr:uid="{48015683-3DB5-4E49-B69A-85008A73D8BD}" name="Table19183243546576" displayName="Table19183243546576" ref="A51:D56" totalsRowCount="1" headerRowDxfId="35" dataDxfId="34" headerRowBorderDxfId="32" tableBorderDxfId="33">
  <tableColumns count="4">
    <tableColumn id="1" xr3:uid="{D5FA9624-5916-45D0-9FFF-46ECDCE01070}" name="CHARITY/GIFTS" totalsRowFunction="custom" dataDxfId="30" totalsRowDxfId="31">
      <totalsRowFormula>"Total " &amp; Table19183243546576[[#Headers],[CHARITY/GIFTS]]</totalsRowFormula>
    </tableColumn>
    <tableColumn id="2" xr3:uid="{37EE2580-01C5-4EF9-9471-9A2CB4B6A7ED}" name="Budget" totalsRowFunction="custom" dataDxfId="28" totalsRowDxfId="29">
      <totalsRowFormula>SUBTOTAL(9,Table19183243546576[Budget])</totalsRowFormula>
    </tableColumn>
    <tableColumn id="3" xr3:uid="{CADBD448-DA5B-4719-A86F-1A5E49A3B10D}" name="Actual" totalsRowFunction="custom" dataDxfId="26" totalsRowDxfId="27">
      <totalsRowFormula>SUBTOTAL(9,Table19183243546576[Actual])</totalsRowFormula>
    </tableColumn>
    <tableColumn id="4" xr3:uid="{6C1F94AE-D954-4074-BB99-2B0C218CD122}" name="Difference" totalsRowFunction="custom" dataDxfId="24" totalsRowDxfId="25">
      <calculatedColumnFormula>B52-C52</calculatedColumnFormula>
      <totalsRowFormula>SUBTOTAL(9,Table19183243546576[Difference])</totalsRowFormula>
    </tableColumn>
  </tableColumns>
  <tableStyleInfo name="V42_ExpenseTable" showFirstColumn="0" showLastColumn="1" showRowStripes="0" showColumnStripes="0"/>
</table>
</file>

<file path=xl/tables/table7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6" xr:uid="{75E49B8F-67F7-4C5E-8A16-6E14E49D8C8D}" name="Table20193344556677" displayName="Table20193344556677" ref="A31:D39" totalsRowCount="1" headerRowDxfId="23" dataDxfId="22" headerRowBorderDxfId="20" tableBorderDxfId="21">
  <tableColumns count="4">
    <tableColumn id="1" xr3:uid="{C7572C3D-C596-4D13-8B06-C13E7EC0F337}" name="Transporte" totalsRowFunction="custom" dataDxfId="18" totalsRowDxfId="19">
      <totalsRowFormula>"Total " &amp; Table20193344556677[[#Headers],[Transporte]]</totalsRowFormula>
    </tableColumn>
    <tableColumn id="2" xr3:uid="{8F0E28D7-B511-4E16-A09D-BC4B72787981}" name="Budget" totalsRowFunction="custom" dataDxfId="16" totalsRowDxfId="17">
      <totalsRowFormula>SUBTOTAL(9,Table20193344556677[Budget])</totalsRowFormula>
    </tableColumn>
    <tableColumn id="3" xr3:uid="{B87AEC64-2BD6-437E-AE87-5F9653A81336}" name="Actual" totalsRowFunction="custom" dataDxfId="14" totalsRowDxfId="15">
      <totalsRowFormula>SUBTOTAL(9,Table20193344556677[Actual])</totalsRowFormula>
    </tableColumn>
    <tableColumn id="4" xr3:uid="{6C793F16-2C1A-4CD9-A292-06DAF293C061}" name="Difference" totalsRowFunction="custom" dataDxfId="12" totalsRowDxfId="13">
      <calculatedColumnFormula>B32-C32</calculatedColumnFormula>
      <totalsRowFormula>SUBTOTAL(9,Table20193344556677[Difference])</totalsRowFormula>
    </tableColumn>
  </tableColumns>
  <tableStyleInfo name="V42_ExpenseTable" showFirstColumn="0" showLastColumn="1" showRowStripes="0" showColumnStripes="0"/>
</table>
</file>

<file path=xl/tables/table7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7" xr:uid="{429FF7A2-A582-474D-9B30-ABF4C989796E}" name="Table21233445566778" displayName="Table21233445566778" ref="A41:D49" totalsRowCount="1" headerRowDxfId="11" dataDxfId="10" headerRowBorderDxfId="8" tableBorderDxfId="9">
  <tableColumns count="4">
    <tableColumn id="1" xr3:uid="{72A93766-EABF-490E-B040-FE31851019C6}" name="Salud" totalsRowFunction="custom" dataDxfId="6" totalsRowDxfId="7">
      <totalsRowFormula>"Total " &amp; Table21233445566778[[#Headers],[Salud]]</totalsRowFormula>
    </tableColumn>
    <tableColumn id="2" xr3:uid="{5C055941-DDDC-49E0-B7E0-CC2E8DFB3299}" name="Budget" totalsRowFunction="custom" dataDxfId="4" totalsRowDxfId="5">
      <totalsRowFormula>SUBTOTAL(9,Table21233445566778[Budget])</totalsRowFormula>
    </tableColumn>
    <tableColumn id="3" xr3:uid="{FF45B27C-C098-4A1E-8657-BC40FD88D74C}" name="Actual" totalsRowFunction="custom" dataDxfId="2" totalsRowDxfId="3">
      <totalsRowFormula>SUBTOTAL(9,Table21233445566778[Actual])</totalsRowFormula>
    </tableColumn>
    <tableColumn id="4" xr3:uid="{3E0B590A-A244-4794-84CA-52F88E756D88}" name="Difference" totalsRowFunction="custom" dataDxfId="0" totalsRowDxfId="1">
      <calculatedColumnFormula>B42-C42</calculatedColumnFormula>
      <totalsRowFormula>SUBTOTAL(9,Table21233445566778[Difference])</totalsRowFormula>
    </tableColumn>
  </tableColumns>
  <tableStyleInfo name="V42_ExpenseTable" showFirstColumn="0" showLastColumn="1" showRowStripes="0" showColumnStripes="0"/>
</table>
</file>

<file path=xl/theme/theme1.xml><?xml version="1.0" encoding="utf-8"?>
<a:theme xmlns:a="http://schemas.openxmlformats.org/drawingml/2006/main" name="Vertex42">
  <a:themeElements>
    <a:clrScheme name="V42-Blue2">
      <a:dk1>
        <a:sysClr val="windowText" lastClr="000000"/>
      </a:dk1>
      <a:lt1>
        <a:sysClr val="window" lastClr="FFFFFF"/>
      </a:lt1>
      <a:dk2>
        <a:srgbClr val="5E8BCE"/>
      </a:dk2>
      <a:lt2>
        <a:srgbClr val="EEECE2"/>
      </a:lt2>
      <a:accent1>
        <a:srgbClr val="3A5D9C"/>
      </a:accent1>
      <a:accent2>
        <a:srgbClr val="C04E4E"/>
      </a:accent2>
      <a:accent3>
        <a:srgbClr val="3D8A16"/>
      </a:accent3>
      <a:accent4>
        <a:srgbClr val="7860B4"/>
      </a:accent4>
      <a:accent5>
        <a:srgbClr val="E68422"/>
      </a:accent5>
      <a:accent6>
        <a:srgbClr val="846648"/>
      </a:accent6>
      <a:hlink>
        <a:srgbClr val="4C92AE"/>
      </a:hlink>
      <a:folHlink>
        <a:srgbClr val="969696"/>
      </a:folHlink>
    </a:clrScheme>
    <a:fontScheme name="Vertex42">
      <a:majorFont>
        <a:latin typeface="Arial"/>
        <a:ea typeface=""/>
        <a:cs typeface=""/>
      </a:majorFont>
      <a:minorFont>
        <a:latin typeface="Trebuchet MS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D3" dT="2023-12-04T18:54:00.43" personId="{EE5A7884-1CD5-4E44-8CFC-2857E2232D92}" id="{C5761B51-FD00-44C5-960C-32900EBDF289}">
    <text xml:space="preserve">Esto se actualiza mes con mes, es lo que deberia de tener ahorrado desde el inicio de mi vida laboral.
</text>
  </threadedComment>
  <threadedComment ref="G4" dT="2023-12-04T18:59:48.31" personId="{EE5A7884-1CD5-4E44-8CFC-2857E2232D92}" id="{6567D7AA-4E67-4FB4-9BE2-1F1B74D7D09C}">
    <text xml:space="preserve">31,120 son la jefa
</text>
  </threadedComment>
  <threadedComment ref="F12" dT="2023-12-04T18:46:13.23" personId="{EE5A7884-1CD5-4E44-8CFC-2857E2232D92}" id="{8EE8873F-78A2-462E-9DC9-CC1ECE8F76F7}">
    <text xml:space="preserve">31,120 No son míos
</text>
  </threadedComment>
</ThreadedComment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12" Type="http://schemas.openxmlformats.org/officeDocument/2006/relationships/table" Target="../tables/table1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11" Type="http://schemas.openxmlformats.org/officeDocument/2006/relationships/table" Target="../tables/table10.xml"/><Relationship Id="rId5" Type="http://schemas.openxmlformats.org/officeDocument/2006/relationships/table" Target="../tables/table4.xml"/><Relationship Id="rId10" Type="http://schemas.openxmlformats.org/officeDocument/2006/relationships/table" Target="../tables/table9.xml"/><Relationship Id="rId4" Type="http://schemas.openxmlformats.org/officeDocument/2006/relationships/table" Target="../tables/table3.xml"/><Relationship Id="rId9" Type="http://schemas.openxmlformats.org/officeDocument/2006/relationships/table" Target="../tables/table8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8.xml"/><Relationship Id="rId3" Type="http://schemas.openxmlformats.org/officeDocument/2006/relationships/table" Target="../tables/table13.xml"/><Relationship Id="rId7" Type="http://schemas.openxmlformats.org/officeDocument/2006/relationships/table" Target="../tables/table17.xml"/><Relationship Id="rId12" Type="http://schemas.openxmlformats.org/officeDocument/2006/relationships/table" Target="../tables/table22.xml"/><Relationship Id="rId2" Type="http://schemas.openxmlformats.org/officeDocument/2006/relationships/table" Target="../tables/table12.xml"/><Relationship Id="rId1" Type="http://schemas.openxmlformats.org/officeDocument/2006/relationships/printerSettings" Target="../printerSettings/printerSettings2.bin"/><Relationship Id="rId6" Type="http://schemas.openxmlformats.org/officeDocument/2006/relationships/table" Target="../tables/table16.xml"/><Relationship Id="rId11" Type="http://schemas.openxmlformats.org/officeDocument/2006/relationships/table" Target="../tables/table21.xml"/><Relationship Id="rId5" Type="http://schemas.openxmlformats.org/officeDocument/2006/relationships/table" Target="../tables/table15.xml"/><Relationship Id="rId10" Type="http://schemas.openxmlformats.org/officeDocument/2006/relationships/table" Target="../tables/table20.xml"/><Relationship Id="rId4" Type="http://schemas.openxmlformats.org/officeDocument/2006/relationships/table" Target="../tables/table14.xml"/><Relationship Id="rId9" Type="http://schemas.openxmlformats.org/officeDocument/2006/relationships/table" Target="../tables/table1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0.xml"/><Relationship Id="rId3" Type="http://schemas.openxmlformats.org/officeDocument/2006/relationships/table" Target="../tables/table25.xml"/><Relationship Id="rId7" Type="http://schemas.openxmlformats.org/officeDocument/2006/relationships/table" Target="../tables/table29.xml"/><Relationship Id="rId2" Type="http://schemas.openxmlformats.org/officeDocument/2006/relationships/table" Target="../tables/table24.xml"/><Relationship Id="rId1" Type="http://schemas.openxmlformats.org/officeDocument/2006/relationships/table" Target="../tables/table23.xml"/><Relationship Id="rId6" Type="http://schemas.openxmlformats.org/officeDocument/2006/relationships/table" Target="../tables/table28.xml"/><Relationship Id="rId11" Type="http://schemas.openxmlformats.org/officeDocument/2006/relationships/table" Target="../tables/table33.xml"/><Relationship Id="rId5" Type="http://schemas.openxmlformats.org/officeDocument/2006/relationships/table" Target="../tables/table27.xml"/><Relationship Id="rId10" Type="http://schemas.openxmlformats.org/officeDocument/2006/relationships/table" Target="../tables/table32.xml"/><Relationship Id="rId4" Type="http://schemas.openxmlformats.org/officeDocument/2006/relationships/table" Target="../tables/table26.xml"/><Relationship Id="rId9" Type="http://schemas.openxmlformats.org/officeDocument/2006/relationships/table" Target="../tables/table31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table" Target="../tables/table40.xml"/><Relationship Id="rId3" Type="http://schemas.openxmlformats.org/officeDocument/2006/relationships/table" Target="../tables/table35.xml"/><Relationship Id="rId7" Type="http://schemas.openxmlformats.org/officeDocument/2006/relationships/table" Target="../tables/table39.xml"/><Relationship Id="rId12" Type="http://schemas.openxmlformats.org/officeDocument/2006/relationships/table" Target="../tables/table44.xml"/><Relationship Id="rId2" Type="http://schemas.openxmlformats.org/officeDocument/2006/relationships/table" Target="../tables/table34.xml"/><Relationship Id="rId1" Type="http://schemas.openxmlformats.org/officeDocument/2006/relationships/drawing" Target="../drawings/drawing1.xml"/><Relationship Id="rId6" Type="http://schemas.openxmlformats.org/officeDocument/2006/relationships/table" Target="../tables/table38.xml"/><Relationship Id="rId11" Type="http://schemas.openxmlformats.org/officeDocument/2006/relationships/table" Target="../tables/table43.xml"/><Relationship Id="rId5" Type="http://schemas.openxmlformats.org/officeDocument/2006/relationships/table" Target="../tables/table37.xml"/><Relationship Id="rId10" Type="http://schemas.openxmlformats.org/officeDocument/2006/relationships/table" Target="../tables/table42.xml"/><Relationship Id="rId4" Type="http://schemas.openxmlformats.org/officeDocument/2006/relationships/table" Target="../tables/table36.xml"/><Relationship Id="rId9" Type="http://schemas.openxmlformats.org/officeDocument/2006/relationships/table" Target="../tables/table4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1.xml"/><Relationship Id="rId3" Type="http://schemas.openxmlformats.org/officeDocument/2006/relationships/table" Target="../tables/table46.xml"/><Relationship Id="rId7" Type="http://schemas.openxmlformats.org/officeDocument/2006/relationships/table" Target="../tables/table50.xml"/><Relationship Id="rId12" Type="http://schemas.openxmlformats.org/officeDocument/2006/relationships/table" Target="../tables/table55.xml"/><Relationship Id="rId2" Type="http://schemas.openxmlformats.org/officeDocument/2006/relationships/table" Target="../tables/table45.xml"/><Relationship Id="rId1" Type="http://schemas.openxmlformats.org/officeDocument/2006/relationships/drawing" Target="../drawings/drawing2.xml"/><Relationship Id="rId6" Type="http://schemas.openxmlformats.org/officeDocument/2006/relationships/table" Target="../tables/table49.xml"/><Relationship Id="rId11" Type="http://schemas.openxmlformats.org/officeDocument/2006/relationships/table" Target="../tables/table54.xml"/><Relationship Id="rId5" Type="http://schemas.openxmlformats.org/officeDocument/2006/relationships/table" Target="../tables/table48.xml"/><Relationship Id="rId10" Type="http://schemas.openxmlformats.org/officeDocument/2006/relationships/table" Target="../tables/table53.xml"/><Relationship Id="rId4" Type="http://schemas.openxmlformats.org/officeDocument/2006/relationships/table" Target="../tables/table47.xml"/><Relationship Id="rId9" Type="http://schemas.openxmlformats.org/officeDocument/2006/relationships/table" Target="../tables/table52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2.xml"/><Relationship Id="rId3" Type="http://schemas.openxmlformats.org/officeDocument/2006/relationships/table" Target="../tables/table57.xml"/><Relationship Id="rId7" Type="http://schemas.openxmlformats.org/officeDocument/2006/relationships/table" Target="../tables/table61.xml"/><Relationship Id="rId12" Type="http://schemas.openxmlformats.org/officeDocument/2006/relationships/table" Target="../tables/table66.xml"/><Relationship Id="rId2" Type="http://schemas.openxmlformats.org/officeDocument/2006/relationships/table" Target="../tables/table56.xml"/><Relationship Id="rId1" Type="http://schemas.openxmlformats.org/officeDocument/2006/relationships/drawing" Target="../drawings/drawing3.xml"/><Relationship Id="rId6" Type="http://schemas.openxmlformats.org/officeDocument/2006/relationships/table" Target="../tables/table60.xml"/><Relationship Id="rId11" Type="http://schemas.openxmlformats.org/officeDocument/2006/relationships/table" Target="../tables/table65.xml"/><Relationship Id="rId5" Type="http://schemas.openxmlformats.org/officeDocument/2006/relationships/table" Target="../tables/table59.xml"/><Relationship Id="rId10" Type="http://schemas.openxmlformats.org/officeDocument/2006/relationships/table" Target="../tables/table64.xml"/><Relationship Id="rId4" Type="http://schemas.openxmlformats.org/officeDocument/2006/relationships/table" Target="../tables/table58.xml"/><Relationship Id="rId9" Type="http://schemas.openxmlformats.org/officeDocument/2006/relationships/table" Target="../tables/table6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3.xml"/><Relationship Id="rId3" Type="http://schemas.openxmlformats.org/officeDocument/2006/relationships/table" Target="../tables/table68.xml"/><Relationship Id="rId7" Type="http://schemas.openxmlformats.org/officeDocument/2006/relationships/table" Target="../tables/table72.xml"/><Relationship Id="rId12" Type="http://schemas.openxmlformats.org/officeDocument/2006/relationships/table" Target="../tables/table77.xml"/><Relationship Id="rId2" Type="http://schemas.openxmlformats.org/officeDocument/2006/relationships/table" Target="../tables/table67.xml"/><Relationship Id="rId1" Type="http://schemas.openxmlformats.org/officeDocument/2006/relationships/drawing" Target="../drawings/drawing4.xml"/><Relationship Id="rId6" Type="http://schemas.openxmlformats.org/officeDocument/2006/relationships/table" Target="../tables/table71.xml"/><Relationship Id="rId11" Type="http://schemas.openxmlformats.org/officeDocument/2006/relationships/table" Target="../tables/table76.xml"/><Relationship Id="rId5" Type="http://schemas.openxmlformats.org/officeDocument/2006/relationships/table" Target="../tables/table70.xml"/><Relationship Id="rId10" Type="http://schemas.openxmlformats.org/officeDocument/2006/relationships/table" Target="../tables/table75.xml"/><Relationship Id="rId4" Type="http://schemas.openxmlformats.org/officeDocument/2006/relationships/table" Target="../tables/table69.xml"/><Relationship Id="rId9" Type="http://schemas.openxmlformats.org/officeDocument/2006/relationships/table" Target="../tables/table74.xml"/></Relationships>
</file>

<file path=xl/worksheets/_rels/sheet10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.xml"/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I157"/>
  <sheetViews>
    <sheetView showGridLines="0" topLeftCell="A15" workbookViewId="0">
      <selection activeCell="B17" sqref="B17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f>8423*2</f>
        <v>16846</v>
      </c>
      <c r="C5" s="6">
        <v>16846</v>
      </c>
      <c r="D5" s="7">
        <f t="shared" ref="D5:D11" si="0">C5-B5</f>
        <v>0</v>
      </c>
      <c r="F5" s="21" t="s">
        <v>8</v>
      </c>
      <c r="G5" s="18">
        <f>Table2[[#Totals],[Budget]]</f>
        <v>16846</v>
      </c>
      <c r="H5" s="18">
        <f>Table2[[#Totals],[Actual]]</f>
        <v>16846</v>
      </c>
      <c r="I5" s="18">
        <f>G5-H5</f>
        <v>0</v>
      </c>
    </row>
    <row r="6" spans="1:9" ht="17.25" thickBot="1">
      <c r="A6" s="1" t="s">
        <v>9</v>
      </c>
      <c r="B6" s="6"/>
      <c r="C6" s="6"/>
      <c r="D6" s="7">
        <f t="shared" si="0"/>
        <v>0</v>
      </c>
      <c r="F6" s="21" t="s">
        <v>10</v>
      </c>
      <c r="G6" s="18">
        <f>SUM(,Table5[[#Totals],[Budget]],Table20[[#Totals],[Budget]],Table21[[#Totals],[Budget]],Table19[[#Totals],[Budget]],Table15[[#Totals],[Budget]],Table14[[#Totals],[Budget]],Table10[[#Totals],[Budget]],Table8[[#Totals],[Budget]],Table7[[#Totals],[Budget]],Table6[[#Totals],[Budget]])</f>
        <v>14413.3</v>
      </c>
      <c r="H6" s="18">
        <f>SUM(Table5[[#Totals],[Actual]],Table20[[#Totals],[Actual]],Table21[[#Totals],[Actual]],Table19[[#Totals],[Actual]],Table15[[#Totals],[Actual]],Table14[[#Totals],[Actual]],Table10[[#Totals],[Actual]],Table8[[#Totals],[Actual]],Table7[[#Totals],[Actual]],Table6[[#Totals],[Actual]])</f>
        <v>11063.3</v>
      </c>
      <c r="I6" s="18">
        <f>G6-H6</f>
        <v>3350</v>
      </c>
    </row>
    <row r="7" spans="1:9" ht="17.25" thickTop="1">
      <c r="A7" s="1" t="s">
        <v>11</v>
      </c>
      <c r="B7" s="6"/>
      <c r="C7" s="6"/>
      <c r="D7" s="7">
        <f t="shared" si="0"/>
        <v>0</v>
      </c>
      <c r="F7" s="22" t="s">
        <v>12</v>
      </c>
      <c r="G7" s="23">
        <f>G5-G6</f>
        <v>2432.7000000000007</v>
      </c>
      <c r="H7" s="23">
        <f>H5-H6</f>
        <v>5782.7000000000007</v>
      </c>
      <c r="I7" s="23">
        <f>H7-G7</f>
        <v>3350</v>
      </c>
    </row>
    <row r="8" spans="1:9" s="2" customFormat="1">
      <c r="A8" s="1" t="s">
        <v>13</v>
      </c>
      <c r="B8" s="6"/>
      <c r="C8" s="6"/>
      <c r="D8" s="7">
        <f t="shared" si="0"/>
        <v>0</v>
      </c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/>
      <c r="D11" s="7">
        <f t="shared" si="0"/>
        <v>0</v>
      </c>
      <c r="F11" s="1" t="s">
        <v>18</v>
      </c>
      <c r="G11" s="10"/>
      <c r="H11" s="10"/>
      <c r="I11" s="7">
        <f t="shared" ref="I11" si="1">G11-H11</f>
        <v>0</v>
      </c>
    </row>
    <row r="12" spans="1:9">
      <c r="A12" s="1" t="s">
        <v>17</v>
      </c>
      <c r="B12" s="8"/>
      <c r="C12" s="8"/>
      <c r="D12" s="7">
        <f>C12-B12</f>
        <v>0</v>
      </c>
      <c r="F12" s="1" t="s">
        <v>19</v>
      </c>
      <c r="G12" s="10"/>
      <c r="H12" s="10"/>
      <c r="I12" s="7">
        <f t="shared" ref="I12:I15" si="2">G12-H12</f>
        <v>0</v>
      </c>
    </row>
    <row r="13" spans="1:9">
      <c r="A13" s="17" t="str">
        <f>"Total " &amp; Table2[[#Headers],[INCOME]]</f>
        <v>Total INCOME</v>
      </c>
      <c r="B13" s="12">
        <f>SUBTOTAL(9,Table2[Budget])</f>
        <v>16846</v>
      </c>
      <c r="C13" s="12">
        <f>SUBTOTAL(9,Table2[Actual])</f>
        <v>16846</v>
      </c>
      <c r="D13" s="9">
        <f>SUBTOTAL(9,Table2[Difference])</f>
        <v>0</v>
      </c>
      <c r="F13" s="1" t="s">
        <v>20</v>
      </c>
      <c r="G13" s="10"/>
      <c r="H13" s="10"/>
      <c r="I13" s="7">
        <f t="shared" si="2"/>
        <v>0</v>
      </c>
    </row>
    <row r="14" spans="1:9">
      <c r="F14" s="1" t="s">
        <v>21</v>
      </c>
      <c r="G14" s="10"/>
      <c r="H14" s="10"/>
      <c r="I14" s="7">
        <f t="shared" si="2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2"/>
        <v>0</v>
      </c>
    </row>
    <row r="16" spans="1:9">
      <c r="A16" s="1" t="s">
        <v>24</v>
      </c>
      <c r="B16" s="6">
        <v>3000</v>
      </c>
      <c r="C16" s="6"/>
      <c r="D16" s="7">
        <f>B16-C16</f>
        <v>3000</v>
      </c>
      <c r="F16" s="1" t="s">
        <v>25</v>
      </c>
      <c r="G16" s="10"/>
      <c r="H16" s="10"/>
      <c r="I16" s="7">
        <f t="shared" ref="I16:I20" si="3">G16-H16</f>
        <v>0</v>
      </c>
    </row>
    <row r="17" spans="1:9">
      <c r="A17" s="1" t="s">
        <v>26</v>
      </c>
      <c r="B17" s="6">
        <v>350</v>
      </c>
      <c r="C17" s="6"/>
      <c r="D17" s="7">
        <f t="shared" ref="D17:D28" si="4">B17-C17</f>
        <v>350</v>
      </c>
      <c r="F17" s="1" t="s">
        <v>27</v>
      </c>
      <c r="G17" s="10"/>
      <c r="H17" s="10"/>
      <c r="I17" s="7">
        <f t="shared" ref="I17:I18" si="5">G17-H17</f>
        <v>0</v>
      </c>
    </row>
    <row r="18" spans="1:9">
      <c r="B18" s="6"/>
      <c r="C18" s="6"/>
      <c r="D18" s="7">
        <f t="shared" si="4"/>
        <v>0</v>
      </c>
      <c r="F18" s="1" t="s">
        <v>28</v>
      </c>
      <c r="G18" s="10"/>
      <c r="H18" s="10"/>
      <c r="I18" s="7">
        <f t="shared" si="5"/>
        <v>0</v>
      </c>
    </row>
    <row r="19" spans="1:9">
      <c r="B19" s="6"/>
      <c r="C19" s="6"/>
      <c r="D19" s="7">
        <f t="shared" si="4"/>
        <v>0</v>
      </c>
      <c r="F19" s="1" t="s">
        <v>29</v>
      </c>
      <c r="G19" s="10"/>
      <c r="H19" s="10"/>
      <c r="I19" s="7">
        <f t="shared" si="3"/>
        <v>0</v>
      </c>
    </row>
    <row r="20" spans="1:9" s="4" customFormat="1">
      <c r="A20" s="1"/>
      <c r="B20" s="6"/>
      <c r="C20" s="6"/>
      <c r="D20" s="7">
        <f t="shared" si="4"/>
        <v>0</v>
      </c>
      <c r="E20" s="1"/>
      <c r="F20" s="1"/>
      <c r="G20" s="10"/>
      <c r="H20" s="10"/>
      <c r="I20" s="7">
        <f t="shared" si="3"/>
        <v>0</v>
      </c>
    </row>
    <row r="21" spans="1:9">
      <c r="B21" s="6"/>
      <c r="C21" s="6"/>
      <c r="D21" s="7">
        <f t="shared" si="4"/>
        <v>0</v>
      </c>
      <c r="F21" s="17" t="str">
        <f>"Total " &amp; Table6[[#Headers],[DAILY LIVING]]</f>
        <v>Total DAILY LIVING</v>
      </c>
      <c r="G21" s="12">
        <f>SUBTOTAL(9,Table6[Budget])</f>
        <v>0</v>
      </c>
      <c r="H21" s="12">
        <f>SUBTOTAL(9,Table6[Actual])</f>
        <v>0</v>
      </c>
      <c r="I21" s="9">
        <f>SUBTOTAL(9,Table6[Difference])</f>
        <v>0</v>
      </c>
    </row>
    <row r="22" spans="1:9">
      <c r="B22" s="6"/>
      <c r="C22" s="6"/>
      <c r="D22" s="7">
        <f t="shared" si="4"/>
        <v>0</v>
      </c>
      <c r="G22" s="11"/>
      <c r="H22" s="11"/>
      <c r="I22" s="11"/>
    </row>
    <row r="23" spans="1:9">
      <c r="B23" s="6"/>
      <c r="C23" s="6"/>
      <c r="D23" s="7">
        <f t="shared" si="4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4"/>
        <v>0</v>
      </c>
      <c r="F24" s="1" t="s">
        <v>31</v>
      </c>
      <c r="G24" s="10"/>
      <c r="H24" s="10"/>
      <c r="I24" s="7">
        <f t="shared" ref="I24:I34" si="6">G24-H24</f>
        <v>0</v>
      </c>
    </row>
    <row r="25" spans="1:9">
      <c r="B25" s="6"/>
      <c r="C25" s="6"/>
      <c r="D25" s="7">
        <f>B25-C25</f>
        <v>0</v>
      </c>
      <c r="F25" s="1" t="s">
        <v>32</v>
      </c>
      <c r="G25" s="10"/>
      <c r="H25" s="10"/>
      <c r="I25" s="7">
        <f t="shared" si="6"/>
        <v>0</v>
      </c>
    </row>
    <row r="26" spans="1:9">
      <c r="B26" s="6"/>
      <c r="C26" s="6"/>
      <c r="D26" s="7">
        <f t="shared" si="4"/>
        <v>0</v>
      </c>
      <c r="F26" s="1" t="s">
        <v>33</v>
      </c>
      <c r="G26" s="10"/>
      <c r="H26" s="10"/>
      <c r="I26" s="7">
        <f t="shared" si="6"/>
        <v>0</v>
      </c>
    </row>
    <row r="27" spans="1:9">
      <c r="B27" s="6"/>
      <c r="C27" s="6"/>
      <c r="D27" s="7">
        <f t="shared" si="4"/>
        <v>0</v>
      </c>
      <c r="F27" s="1" t="s">
        <v>34</v>
      </c>
      <c r="G27" s="10"/>
      <c r="H27" s="10"/>
      <c r="I27" s="7">
        <f t="shared" ref="I27:I31" si="7">G27-H27</f>
        <v>0</v>
      </c>
    </row>
    <row r="28" spans="1:9">
      <c r="B28" s="10"/>
      <c r="C28" s="10"/>
      <c r="D28" s="7">
        <f t="shared" si="4"/>
        <v>0</v>
      </c>
      <c r="F28" s="1" t="s">
        <v>35</v>
      </c>
      <c r="G28" s="10"/>
      <c r="H28" s="10"/>
      <c r="I28" s="7">
        <f t="shared" si="7"/>
        <v>0</v>
      </c>
    </row>
    <row r="29" spans="1:9">
      <c r="A29" s="17" t="str">
        <f>"Total " &amp; Table5[[#Headers],[Gastos Vivienda]]</f>
        <v>Total Gastos Vivienda</v>
      </c>
      <c r="B29" s="12">
        <f>SUBTOTAL(9,Table5[Budget])</f>
        <v>3350</v>
      </c>
      <c r="C29" s="12">
        <f>SUBTOTAL(9,Table5[Actual])</f>
        <v>0</v>
      </c>
      <c r="D29" s="9">
        <f>SUBTOTAL(9,Table5[Difference])</f>
        <v>3350</v>
      </c>
      <c r="F29" s="1" t="s">
        <v>36</v>
      </c>
      <c r="G29" s="10"/>
      <c r="H29" s="10"/>
      <c r="I29" s="7">
        <f t="shared" si="7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7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39</v>
      </c>
      <c r="G31" s="10">
        <v>750</v>
      </c>
      <c r="H31" s="10">
        <v>750</v>
      </c>
      <c r="I31" s="7">
        <f t="shared" si="7"/>
        <v>0</v>
      </c>
    </row>
    <row r="32" spans="1:9">
      <c r="A32" s="1" t="s">
        <v>40</v>
      </c>
      <c r="B32" s="10"/>
      <c r="C32" s="10"/>
      <c r="D32" s="7">
        <f>B32-C32</f>
        <v>0</v>
      </c>
      <c r="F32" s="1" t="s">
        <v>41</v>
      </c>
      <c r="G32" s="10"/>
      <c r="H32" s="10"/>
      <c r="I32" s="7">
        <f t="shared" si="6"/>
        <v>0</v>
      </c>
    </row>
    <row r="33" spans="1:9">
      <c r="A33" s="1" t="s">
        <v>42</v>
      </c>
      <c r="B33" s="10"/>
      <c r="C33" s="10"/>
      <c r="D33" s="7">
        <f t="shared" ref="D33:D38" si="8">B33-C33</f>
        <v>0</v>
      </c>
      <c r="F33" s="1" t="s">
        <v>43</v>
      </c>
      <c r="G33" s="10"/>
      <c r="H33" s="10"/>
      <c r="I33" s="7">
        <f t="shared" si="6"/>
        <v>0</v>
      </c>
    </row>
    <row r="34" spans="1:9">
      <c r="A34" s="1" t="s">
        <v>44</v>
      </c>
      <c r="B34" s="10"/>
      <c r="C34" s="10"/>
      <c r="D34" s="7">
        <f>B34-C34</f>
        <v>0</v>
      </c>
      <c r="G34" s="10"/>
      <c r="H34" s="10"/>
      <c r="I34" s="7">
        <f t="shared" si="6"/>
        <v>0</v>
      </c>
    </row>
    <row r="35" spans="1:9">
      <c r="A35" s="1" t="s">
        <v>45</v>
      </c>
      <c r="B35" s="10"/>
      <c r="C35" s="10"/>
      <c r="D35" s="7">
        <f t="shared" si="8"/>
        <v>0</v>
      </c>
      <c r="F35" s="17" t="str">
        <f>"Total " &amp; Table7[[#Headers],[Diversion ]]</f>
        <v xml:space="preserve">Total Diversion </v>
      </c>
      <c r="G35" s="12">
        <f>SUBTOTAL(9,Table7[Budget])</f>
        <v>750</v>
      </c>
      <c r="H35" s="12">
        <f>SUBTOTAL(9,Table7[Actual])</f>
        <v>750</v>
      </c>
      <c r="I35" s="9">
        <f>SUBTOTAL(9,Table7[Difference])</f>
        <v>0</v>
      </c>
    </row>
    <row r="36" spans="1:9">
      <c r="A36" s="1" t="s">
        <v>46</v>
      </c>
      <c r="B36" s="10"/>
      <c r="C36" s="10"/>
      <c r="D36" s="7">
        <f t="shared" si="8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8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17</v>
      </c>
      <c r="B38" s="10"/>
      <c r="C38" s="10"/>
      <c r="D38" s="7">
        <f t="shared" si="8"/>
        <v>0</v>
      </c>
      <c r="F38" s="1" t="s">
        <v>49</v>
      </c>
      <c r="G38" s="10">
        <v>5000</v>
      </c>
      <c r="H38" s="10">
        <v>5000</v>
      </c>
      <c r="I38" s="7">
        <f>G38-H38</f>
        <v>0</v>
      </c>
    </row>
    <row r="39" spans="1:9">
      <c r="A39" s="17" t="str">
        <f>"Total " &amp; Table20[[#Headers],[Transporte]]</f>
        <v>Total Transporte</v>
      </c>
      <c r="B39" s="12">
        <f>SUBTOTAL(9,Table20[Budget])</f>
        <v>0</v>
      </c>
      <c r="C39" s="12">
        <f>SUBTOTAL(9,Table20[Actual])</f>
        <v>0</v>
      </c>
      <c r="D39" s="9">
        <f>SUBTOTAL(9,Table20[Difference])</f>
        <v>0</v>
      </c>
      <c r="F39" s="1" t="s">
        <v>50</v>
      </c>
      <c r="G39" s="10">
        <v>2000</v>
      </c>
      <c r="H39" s="10">
        <v>2000</v>
      </c>
      <c r="I39" s="7">
        <f t="shared" ref="I39:I40" si="9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9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10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55</v>
      </c>
      <c r="B43" s="10"/>
      <c r="C43" s="10"/>
      <c r="D43" s="7">
        <f t="shared" si="10"/>
        <v>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10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57</v>
      </c>
      <c r="B45" s="10"/>
      <c r="C45" s="10"/>
      <c r="D45" s="7">
        <f t="shared" si="10"/>
        <v>0</v>
      </c>
      <c r="F45" s="17" t="str">
        <f>"Total " &amp; Table8[[#Headers],[Ahorros]]</f>
        <v>Total Ahorros</v>
      </c>
      <c r="G45" s="12">
        <f>SUBTOTAL(9,Table8[Budget])</f>
        <v>7000</v>
      </c>
      <c r="H45" s="12">
        <f>SUBTOTAL(9,Table8[Actual])</f>
        <v>7000</v>
      </c>
      <c r="I45" s="9">
        <f>SUBTOTAL(9,Table8[Difference])</f>
        <v>0</v>
      </c>
    </row>
    <row r="46" spans="1:9">
      <c r="A46" s="1" t="s">
        <v>58</v>
      </c>
      <c r="B46" s="10"/>
      <c r="C46" s="10"/>
      <c r="D46" s="7">
        <f t="shared" si="10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10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10"/>
        <v>0</v>
      </c>
      <c r="F48" s="1" t="s">
        <v>61</v>
      </c>
      <c r="G48" s="10">
        <v>3313.3</v>
      </c>
      <c r="H48" s="10">
        <v>3313.3</v>
      </c>
      <c r="I48" s="7">
        <f t="shared" ref="I48:I55" si="11">G48-H48</f>
        <v>0</v>
      </c>
    </row>
    <row r="49" spans="1:9">
      <c r="A49" s="17" t="str">
        <f>"Total " &amp; Table21[[#Headers],[Salud]]</f>
        <v>Total Salud</v>
      </c>
      <c r="B49" s="12">
        <f>SUBTOTAL(9,Table21[Budget])</f>
        <v>0</v>
      </c>
      <c r="C49" s="12">
        <f>SUBTOTAL(9,Table21[Actual])</f>
        <v>0</v>
      </c>
      <c r="D49" s="9">
        <f>SUBTOTAL(9,Table21[Difference])</f>
        <v>0</v>
      </c>
      <c r="F49" s="1" t="s">
        <v>62</v>
      </c>
      <c r="G49" s="10"/>
      <c r="H49" s="10"/>
      <c r="I49" s="7">
        <f t="shared" si="11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11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11"/>
        <v>0</v>
      </c>
    </row>
    <row r="52" spans="1:9">
      <c r="A52" s="1" t="s">
        <v>65</v>
      </c>
      <c r="B52" s="10"/>
      <c r="C52" s="10"/>
      <c r="D52" s="7">
        <f t="shared" ref="D52:D55" si="12">B52-C52</f>
        <v>0</v>
      </c>
      <c r="G52" s="10"/>
      <c r="H52" s="10"/>
      <c r="I52" s="7">
        <f t="shared" si="11"/>
        <v>0</v>
      </c>
    </row>
    <row r="53" spans="1:9">
      <c r="A53" s="1" t="s">
        <v>66</v>
      </c>
      <c r="B53" s="10"/>
      <c r="C53" s="10"/>
      <c r="D53" s="7">
        <f t="shared" si="12"/>
        <v>0</v>
      </c>
      <c r="G53" s="10"/>
      <c r="H53" s="10"/>
      <c r="I53" s="7">
        <f t="shared" ref="I53:I54" si="13">G53-H53</f>
        <v>0</v>
      </c>
    </row>
    <row r="54" spans="1:9">
      <c r="A54" s="1" t="s">
        <v>67</v>
      </c>
      <c r="B54" s="10"/>
      <c r="C54" s="10"/>
      <c r="D54" s="7">
        <f t="shared" si="12"/>
        <v>0</v>
      </c>
      <c r="G54" s="10"/>
      <c r="H54" s="10"/>
      <c r="I54" s="7">
        <f t="shared" si="13"/>
        <v>0</v>
      </c>
    </row>
    <row r="55" spans="1:9">
      <c r="A55" s="1" t="s">
        <v>17</v>
      </c>
      <c r="B55" s="10"/>
      <c r="C55" s="10"/>
      <c r="D55" s="7">
        <f t="shared" si="12"/>
        <v>0</v>
      </c>
      <c r="G55" s="10"/>
      <c r="H55" s="10"/>
      <c r="I55" s="7">
        <f t="shared" si="11"/>
        <v>0</v>
      </c>
    </row>
    <row r="56" spans="1:9">
      <c r="A56" s="17" t="str">
        <f>"Total " &amp; Table19[[#Headers],[CHARITY/GIFTS]]</f>
        <v>Total CHARITY/GIFTS</v>
      </c>
      <c r="B56" s="12">
        <f>SUBTOTAL(9,Table19[Budget])</f>
        <v>0</v>
      </c>
      <c r="C56" s="12">
        <f>SUBTOTAL(9,Table19[Actual])</f>
        <v>0</v>
      </c>
      <c r="D56" s="9">
        <f>SUBTOTAL(9,Table19[Difference])</f>
        <v>0</v>
      </c>
      <c r="F56" s="17" t="str">
        <f>"Total " &amp; Table10[[#Headers],[Oblgiaciones ]]</f>
        <v xml:space="preserve">Total Oblgiaciones </v>
      </c>
      <c r="G56" s="12">
        <f>SUBTOTAL(9,Table10[Budget])</f>
        <v>3313.3</v>
      </c>
      <c r="H56" s="12">
        <f>SUBTOTAL(9,Table10[Actual])</f>
        <v>3313.3</v>
      </c>
      <c r="I56" s="9">
        <f>SUBTOTAL(9,Table10[Difference])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14">B59-C59</f>
        <v>0</v>
      </c>
      <c r="F59" s="1" t="s">
        <v>71</v>
      </c>
      <c r="G59" s="6"/>
      <c r="H59" s="6"/>
      <c r="I59" s="7">
        <f t="shared" ref="I59:I62" si="15">G59-H59</f>
        <v>0</v>
      </c>
    </row>
    <row r="60" spans="1:9">
      <c r="A60" s="1" t="s">
        <v>72</v>
      </c>
      <c r="B60" s="10"/>
      <c r="C60" s="10"/>
      <c r="D60" s="7">
        <f t="shared" si="14"/>
        <v>0</v>
      </c>
      <c r="F60" s="1" t="s">
        <v>17</v>
      </c>
      <c r="G60" s="6"/>
      <c r="H60" s="6"/>
      <c r="I60" s="7">
        <f t="shared" si="15"/>
        <v>0</v>
      </c>
    </row>
    <row r="61" spans="1:9">
      <c r="A61" s="1" t="s">
        <v>73</v>
      </c>
      <c r="B61" s="10"/>
      <c r="C61" s="10"/>
      <c r="D61" s="7">
        <f t="shared" si="14"/>
        <v>0</v>
      </c>
      <c r="G61" s="6"/>
      <c r="H61" s="6"/>
      <c r="I61" s="7">
        <f t="shared" si="15"/>
        <v>0</v>
      </c>
    </row>
    <row r="62" spans="1:9">
      <c r="B62" s="10"/>
      <c r="C62" s="10"/>
      <c r="D62" s="7">
        <f t="shared" si="14"/>
        <v>0</v>
      </c>
      <c r="G62" s="10"/>
      <c r="H62" s="10"/>
      <c r="I62" s="7">
        <f t="shared" si="15"/>
        <v>0</v>
      </c>
    </row>
    <row r="63" spans="1:9">
      <c r="A63" s="17" t="str">
        <f>"Total " &amp; Table15[[#Headers],[Subscrpciones]]</f>
        <v>Total Subscrpciones</v>
      </c>
      <c r="B63" s="12">
        <f>SUBTOTAL(9,Table15[Budget])</f>
        <v>0</v>
      </c>
      <c r="C63" s="12">
        <f>SUBTOTAL(9,Table15[Actual])</f>
        <v>0</v>
      </c>
      <c r="D63" s="9">
        <f>SUBTOTAL(9,Table15[Difference])</f>
        <v>0</v>
      </c>
      <c r="F63" s="17" t="str">
        <f>"Total " &amp; Table14[[#Headers],[Misc]]</f>
        <v>Total Misc</v>
      </c>
      <c r="G63" s="12">
        <f>SUBTOTAL(9,Table14[Budget])</f>
        <v>0</v>
      </c>
      <c r="H63" s="12">
        <f>SUBTOTAL(9,Table14[Actual])</f>
        <v>0</v>
      </c>
      <c r="I63" s="9">
        <f>SUBTOTAL(9,Table14[Difference])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phoneticPr fontId="0" type="noConversion"/>
  <conditionalFormatting sqref="B4">
    <cfRule type="containsText" priority="3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903" priority="5" stopIfTrue="1" operator="lessThan">
      <formula>0</formula>
    </cfRule>
  </conditionalFormatting>
  <conditionalFormatting sqref="I48:I55">
    <cfRule type="cellIs" dxfId="902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24A9C9-FB6A-4492-AD38-738ECDB3EE42}">
  <sheetPr>
    <pageSetUpPr fitToPage="1"/>
  </sheetPr>
  <dimension ref="A1:I157"/>
  <sheetViews>
    <sheetView showGridLines="0" workbookViewId="0">
      <selection activeCell="H18" sqref="H18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f>8423*2</f>
        <v>16846</v>
      </c>
      <c r="C5" s="6">
        <v>16846</v>
      </c>
      <c r="D5" s="7">
        <f t="shared" ref="D5:D11" si="0">C5-B5</f>
        <v>0</v>
      </c>
      <c r="F5" s="21" t="s">
        <v>8</v>
      </c>
      <c r="G5" s="18">
        <f>Table22[[#Totals],[Budget]]</f>
        <v>16846</v>
      </c>
      <c r="H5" s="18">
        <f>Table22[[#Totals],[Actual]]</f>
        <v>17246</v>
      </c>
      <c r="I5" s="18">
        <f>G5-H5</f>
        <v>-400</v>
      </c>
    </row>
    <row r="6" spans="1:9" ht="17.25" thickBot="1">
      <c r="A6" s="1" t="s">
        <v>9</v>
      </c>
      <c r="B6" s="6"/>
      <c r="C6" s="6"/>
      <c r="D6" s="7">
        <f t="shared" si="0"/>
        <v>0</v>
      </c>
      <c r="F6" s="21" t="s">
        <v>10</v>
      </c>
      <c r="G6" s="18">
        <f>SUM(,Table54[[#Totals],[Budget]],Table2019[[#Totals],[Budget]],Table2123[[#Totals],[Budget]],Table1918[[#Totals],[Budget]],Table1517[[#Totals],[Budget]],Table1414[[#Totals],[Budget]],Table1013[[#Totals],[Budget]],Table812[[#Totals],[Budget]],Table710[[#Totals],[Budget]],Table65[[#Totals],[Budget]])</f>
        <v>18102.95</v>
      </c>
      <c r="H6" s="18">
        <f>SUM(Table54[[#Totals],[Actual]],Table2019[[#Totals],[Actual]],Table2123[[#Totals],[Actual]],Table1918[[#Totals],[Actual]],Table1517[[#Totals],[Actual]],Table1414[[#Totals],[Actual]],Table1013[[#Totals],[Actual]],Table812[[#Totals],[Actual]],Table710[[#Totals],[Actual]],Table65[[#Totals],[Actual]])</f>
        <v>14844.95</v>
      </c>
      <c r="I6" s="18">
        <f>G6-H6</f>
        <v>3258</v>
      </c>
    </row>
    <row r="7" spans="1:9" ht="17.25" thickTop="1">
      <c r="A7" s="1" t="s">
        <v>11</v>
      </c>
      <c r="B7" s="6"/>
      <c r="C7" s="6"/>
      <c r="D7" s="7">
        <f t="shared" si="0"/>
        <v>0</v>
      </c>
      <c r="F7" s="22" t="s">
        <v>12</v>
      </c>
      <c r="G7" s="23">
        <f>G5-G6</f>
        <v>-1256.9500000000007</v>
      </c>
      <c r="H7" s="23">
        <f>H5-H6</f>
        <v>2401.0499999999993</v>
      </c>
      <c r="I7" s="23">
        <f>H7-G7</f>
        <v>3658</v>
      </c>
    </row>
    <row r="8" spans="1:9" s="2" customFormat="1">
      <c r="A8" s="1" t="s">
        <v>13</v>
      </c>
      <c r="B8" s="6"/>
      <c r="C8" s="6"/>
      <c r="D8" s="7">
        <f t="shared" si="0"/>
        <v>0</v>
      </c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>
        <f>400</f>
        <v>400</v>
      </c>
      <c r="D11" s="7">
        <f t="shared" si="0"/>
        <v>400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8"/>
      <c r="D12" s="7">
        <f>C12-B12</f>
        <v>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Table22[[#Headers],[INCOME]]</f>
        <v>Total INCOME</v>
      </c>
      <c r="B13" s="12">
        <f>SUBTOTAL(9,Table22[Budget])</f>
        <v>16846</v>
      </c>
      <c r="C13" s="12">
        <f>SUBTOTAL(9,Table22[Actual])</f>
        <v>17246</v>
      </c>
      <c r="D13" s="9">
        <f>SUBTOTAL(9,Table22[Difference])</f>
        <v>400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>
        <v>3000</v>
      </c>
      <c r="C16" s="6">
        <v>800</v>
      </c>
      <c r="D16" s="35">
        <f>B16-C16</f>
        <v>2200</v>
      </c>
      <c r="F16" s="1" t="s">
        <v>25</v>
      </c>
      <c r="G16" s="10">
        <v>1000</v>
      </c>
      <c r="H16" s="10">
        <f>120+322</f>
        <v>442</v>
      </c>
      <c r="I16" s="7">
        <f t="shared" si="1"/>
        <v>558</v>
      </c>
    </row>
    <row r="17" spans="1:9">
      <c r="A17" s="1" t="s">
        <v>26</v>
      </c>
      <c r="B17" s="6">
        <v>350</v>
      </c>
      <c r="C17" s="6">
        <v>350</v>
      </c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B18" s="6"/>
      <c r="C18" s="6"/>
      <c r="D18" s="7">
        <f t="shared" si="2"/>
        <v>0</v>
      </c>
      <c r="F18" s="1" t="s">
        <v>44</v>
      </c>
      <c r="G18" s="10">
        <v>1000</v>
      </c>
      <c r="H18" s="10">
        <v>500</v>
      </c>
      <c r="I18" s="7">
        <f t="shared" si="1"/>
        <v>500</v>
      </c>
    </row>
    <row r="19" spans="1:9">
      <c r="B19" s="6"/>
      <c r="C19" s="6"/>
      <c r="D19" s="7">
        <f t="shared" si="2"/>
        <v>0</v>
      </c>
      <c r="F19" s="1" t="s">
        <v>74</v>
      </c>
      <c r="G19" s="10">
        <v>299</v>
      </c>
      <c r="H19" s="10">
        <v>299</v>
      </c>
      <c r="I19" s="7">
        <f t="shared" si="1"/>
        <v>0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Table65[[#Headers],[DAILY LIVING]]</f>
        <v>Total DAILY LIVING</v>
      </c>
      <c r="G21" s="12">
        <f>SUBTOTAL(9,Table65[Budget])</f>
        <v>2299</v>
      </c>
      <c r="H21" s="12">
        <f>SUBTOTAL(9,Table65[Actual])</f>
        <v>1241</v>
      </c>
      <c r="I21" s="9">
        <f>SUBTOTAL(9,Table65[Difference])</f>
        <v>1058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31</v>
      </c>
      <c r="G24" s="10"/>
      <c r="H24" s="10"/>
      <c r="I24" s="7">
        <f t="shared" ref="I24:I34" si="3">G24-H24</f>
        <v>0</v>
      </c>
    </row>
    <row r="25" spans="1:9">
      <c r="B25" s="6"/>
      <c r="C25" s="6"/>
      <c r="D25" s="7">
        <f>B25-C25</f>
        <v>0</v>
      </c>
      <c r="F25" s="1" t="s">
        <v>32</v>
      </c>
      <c r="G25" s="10"/>
      <c r="H25" s="10"/>
      <c r="I25" s="7">
        <f t="shared" si="3"/>
        <v>0</v>
      </c>
    </row>
    <row r="26" spans="1:9">
      <c r="B26" s="6"/>
      <c r="C26" s="6"/>
      <c r="D26" s="7">
        <f t="shared" si="2"/>
        <v>0</v>
      </c>
      <c r="F26" s="1" t="s">
        <v>33</v>
      </c>
      <c r="G26" s="10"/>
      <c r="H26" s="10"/>
      <c r="I26" s="7">
        <f t="shared" si="3"/>
        <v>0</v>
      </c>
    </row>
    <row r="27" spans="1:9">
      <c r="B27" s="6"/>
      <c r="C27" s="6"/>
      <c r="D27" s="7">
        <f t="shared" si="2"/>
        <v>0</v>
      </c>
      <c r="F27" s="1" t="s">
        <v>34</v>
      </c>
      <c r="G27" s="10"/>
      <c r="H27" s="10"/>
      <c r="I27" s="7">
        <f t="shared" si="3"/>
        <v>0</v>
      </c>
    </row>
    <row r="28" spans="1:9">
      <c r="B28" s="10"/>
      <c r="C28" s="10"/>
      <c r="D28" s="7">
        <f t="shared" si="2"/>
        <v>0</v>
      </c>
      <c r="F28" s="1" t="s">
        <v>35</v>
      </c>
      <c r="G28" s="10"/>
      <c r="H28" s="10"/>
      <c r="I28" s="7">
        <f t="shared" si="3"/>
        <v>0</v>
      </c>
    </row>
    <row r="29" spans="1:9">
      <c r="A29" s="17" t="str">
        <f>"Total " &amp; Table54[[#Headers],[Gastos Vivienda]]</f>
        <v>Total Gastos Vivienda</v>
      </c>
      <c r="B29" s="12">
        <f>SUBTOTAL(9,Table54[Budget])</f>
        <v>3350</v>
      </c>
      <c r="C29" s="12">
        <f>SUBTOTAL(9,Table54[Actual])</f>
        <v>1150</v>
      </c>
      <c r="D29" s="9">
        <f>SUBTOTAL(9,Table54[Difference])</f>
        <v>2200</v>
      </c>
      <c r="F29" s="1" t="s">
        <v>36</v>
      </c>
      <c r="G29" s="10"/>
      <c r="H29" s="10"/>
      <c r="I29" s="7">
        <f t="shared" si="3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3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>
        <v>750</v>
      </c>
      <c r="I31" s="7">
        <f t="shared" si="3"/>
        <v>0</v>
      </c>
    </row>
    <row r="32" spans="1:9">
      <c r="A32" s="1" t="s">
        <v>40</v>
      </c>
      <c r="B32" s="10"/>
      <c r="C32" s="10"/>
      <c r="D32" s="7">
        <f>B32-C32</f>
        <v>0</v>
      </c>
      <c r="F32" s="1" t="s">
        <v>76</v>
      </c>
      <c r="G32" s="10">
        <v>57</v>
      </c>
      <c r="H32" s="10">
        <v>57</v>
      </c>
      <c r="I32" s="7">
        <f t="shared" si="3"/>
        <v>0</v>
      </c>
    </row>
    <row r="33" spans="1:9">
      <c r="A33" s="1" t="s">
        <v>42</v>
      </c>
      <c r="B33" s="10"/>
      <c r="C33" s="10"/>
      <c r="D33" s="7">
        <f t="shared" ref="D33:D38" si="4">B33-C33</f>
        <v>0</v>
      </c>
      <c r="F33" s="1" t="s">
        <v>43</v>
      </c>
      <c r="G33" s="10"/>
      <c r="H33" s="10"/>
      <c r="I33" s="7">
        <f t="shared" si="3"/>
        <v>0</v>
      </c>
    </row>
    <row r="34" spans="1:9">
      <c r="A34" s="1" t="s">
        <v>44</v>
      </c>
      <c r="B34" s="10"/>
      <c r="C34" s="10"/>
      <c r="D34" s="7">
        <f>B34-C34</f>
        <v>0</v>
      </c>
      <c r="G34" s="10"/>
      <c r="H34" s="10"/>
      <c r="I34" s="7">
        <f t="shared" si="3"/>
        <v>0</v>
      </c>
    </row>
    <row r="35" spans="1:9">
      <c r="A35" s="1" t="s">
        <v>45</v>
      </c>
      <c r="B35" s="10"/>
      <c r="C35" s="10"/>
      <c r="D35" s="7">
        <f t="shared" si="4"/>
        <v>0</v>
      </c>
      <c r="F35" s="17" t="str">
        <f>"Total " &amp; Table710[[#Headers],[Diversion ]]</f>
        <v xml:space="preserve">Total Diversion </v>
      </c>
      <c r="G35" s="12">
        <f>SUBTOTAL(9,Table710[Budget])</f>
        <v>807</v>
      </c>
      <c r="H35" s="12">
        <f>SUBTOTAL(9,Table710[Actual])</f>
        <v>807</v>
      </c>
      <c r="I35" s="9">
        <f>SUBTOTAL(9,Table710[Difference])</f>
        <v>0</v>
      </c>
    </row>
    <row r="36" spans="1:9">
      <c r="A36" s="1" t="s">
        <v>46</v>
      </c>
      <c r="B36" s="10"/>
      <c r="C36" s="10"/>
      <c r="D36" s="7">
        <f t="shared" si="4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17</v>
      </c>
      <c r="B38" s="10"/>
      <c r="C38" s="10"/>
      <c r="D38" s="7">
        <f t="shared" si="4"/>
        <v>0</v>
      </c>
      <c r="F38" s="1" t="s">
        <v>49</v>
      </c>
      <c r="G38" s="10">
        <v>5000</v>
      </c>
      <c r="H38" s="10">
        <v>5000</v>
      </c>
      <c r="I38" s="7">
        <f>G38-H38</f>
        <v>0</v>
      </c>
    </row>
    <row r="39" spans="1:9">
      <c r="A39" s="17" t="str">
        <f>"Total " &amp; Table2019[[#Headers],[Transporte]]</f>
        <v>Total Transporte</v>
      </c>
      <c r="B39" s="12">
        <f>SUBTOTAL(9,Table2019[Budget])</f>
        <v>0</v>
      </c>
      <c r="C39" s="12">
        <f>SUBTOTAL(9,Table2019[Actual])</f>
        <v>0</v>
      </c>
      <c r="D39" s="9">
        <f>SUBTOTAL(9,Table2019[Difference])</f>
        <v>0</v>
      </c>
      <c r="F39" s="1" t="s">
        <v>50</v>
      </c>
      <c r="G39" s="10">
        <v>2000</v>
      </c>
      <c r="H39" s="10">
        <v>2000</v>
      </c>
      <c r="I39" s="7">
        <f t="shared" ref="I39:I40" si="5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55</v>
      </c>
      <c r="B43" s="10"/>
      <c r="C43" s="10"/>
      <c r="D43" s="7">
        <f t="shared" si="6"/>
        <v>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57</v>
      </c>
      <c r="B45" s="10"/>
      <c r="C45" s="10"/>
      <c r="D45" s="7">
        <f t="shared" si="6"/>
        <v>0</v>
      </c>
      <c r="F45" s="17" t="str">
        <f>"Total " &amp; Table812[[#Headers],[Ahorros]]</f>
        <v>Total Ahorros</v>
      </c>
      <c r="G45" s="12">
        <f>SUBTOTAL(9,Table812[Budget])</f>
        <v>7000</v>
      </c>
      <c r="H45" s="12">
        <f>SUBTOTAL(9,Table812[Actual])</f>
        <v>7000</v>
      </c>
      <c r="I45" s="9">
        <f>SUBTOTAL(9,Table812[Difference])</f>
        <v>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>
        <v>3313.3</v>
      </c>
      <c r="H48" s="10">
        <v>3313.3</v>
      </c>
      <c r="I48" s="7">
        <f t="shared" ref="I48:I55" si="7">G48-H48</f>
        <v>0</v>
      </c>
    </row>
    <row r="49" spans="1:9">
      <c r="A49" s="17" t="str">
        <f>"Total " &amp; Table2123[[#Headers],[Salud]]</f>
        <v>Total Salud</v>
      </c>
      <c r="B49" s="12">
        <f>SUBTOTAL(9,Table2123[Budget])</f>
        <v>0</v>
      </c>
      <c r="C49" s="12">
        <f>SUBTOTAL(9,Table2123[Actual])</f>
        <v>0</v>
      </c>
      <c r="D49" s="9">
        <f>SUBTOTAL(9,Table2123[Difference])</f>
        <v>0</v>
      </c>
      <c r="F49" s="1" t="s">
        <v>62</v>
      </c>
      <c r="G49" s="10">
        <v>1333.65</v>
      </c>
      <c r="H49" s="10">
        <v>1333.65</v>
      </c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/>
      <c r="C52" s="10"/>
      <c r="D52" s="7">
        <f t="shared" ref="D52:D55" si="8">B52-C52</f>
        <v>0</v>
      </c>
      <c r="G52" s="10"/>
      <c r="H52" s="10"/>
      <c r="I52" s="7">
        <f t="shared" si="7"/>
        <v>0</v>
      </c>
    </row>
    <row r="53" spans="1:9">
      <c r="A53" s="1" t="s">
        <v>66</v>
      </c>
      <c r="B53" s="10"/>
      <c r="C53" s="10"/>
      <c r="D53" s="7">
        <f t="shared" si="8"/>
        <v>0</v>
      </c>
      <c r="G53" s="10"/>
      <c r="H53" s="10"/>
      <c r="I53" s="7">
        <f t="shared" si="7"/>
        <v>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Table1918[[#Headers],[CHARITY/GIFTS]]</f>
        <v>Total CHARITY/GIFTS</v>
      </c>
      <c r="B56" s="12">
        <f>SUBTOTAL(9,Table1918[Budget])</f>
        <v>0</v>
      </c>
      <c r="C56" s="12">
        <f>SUBTOTAL(9,Table1918[Actual])</f>
        <v>0</v>
      </c>
      <c r="D56" s="9">
        <f>SUBTOTAL(9,Table1918[Difference])</f>
        <v>0</v>
      </c>
      <c r="F56" s="17" t="str">
        <f>"Total " &amp; Table1013[[#Headers],[Oblgiaciones ]]</f>
        <v xml:space="preserve">Total Oblgiaciones </v>
      </c>
      <c r="G56" s="12">
        <f>SUBTOTAL(9,Table1013[Budget])</f>
        <v>4646.9500000000007</v>
      </c>
      <c r="H56" s="12">
        <f>SUBTOTAL(9,Table1013[Actual])</f>
        <v>4646.9500000000007</v>
      </c>
      <c r="I56" s="9">
        <f>SUBTOTAL(9,Table1013[Difference])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71</v>
      </c>
      <c r="G59" s="6"/>
      <c r="H59" s="6"/>
      <c r="I59" s="7">
        <f t="shared" ref="I59:I62" si="10">G59-H59</f>
        <v>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17</v>
      </c>
      <c r="G60" s="6"/>
      <c r="H60" s="6"/>
      <c r="I60" s="7">
        <f t="shared" si="10"/>
        <v>0</v>
      </c>
    </row>
    <row r="61" spans="1:9">
      <c r="A61" s="1" t="s">
        <v>73</v>
      </c>
      <c r="B61" s="10"/>
      <c r="C61" s="10"/>
      <c r="D61" s="7">
        <f t="shared" si="9"/>
        <v>0</v>
      </c>
      <c r="G61" s="6"/>
      <c r="H61" s="6"/>
      <c r="I61" s="7">
        <f t="shared" si="10"/>
        <v>0</v>
      </c>
    </row>
    <row r="62" spans="1:9">
      <c r="B62" s="10"/>
      <c r="C62" s="10"/>
      <c r="D62" s="7">
        <f t="shared" si="9"/>
        <v>0</v>
      </c>
      <c r="G62" s="10"/>
      <c r="H62" s="10"/>
      <c r="I62" s="7">
        <f t="shared" si="10"/>
        <v>0</v>
      </c>
    </row>
    <row r="63" spans="1:9">
      <c r="A63" s="17" t="str">
        <f>"Total " &amp; Table1517[[#Headers],[Subscrpciones]]</f>
        <v>Total Subscrpciones</v>
      </c>
      <c r="B63" s="12">
        <f>SUBTOTAL(9,Table1517[Budget])</f>
        <v>0</v>
      </c>
      <c r="C63" s="12">
        <f>SUBTOTAL(9,Table1517[Actual])</f>
        <v>0</v>
      </c>
      <c r="D63" s="9">
        <f>SUBTOTAL(9,Table1517[Difference])</f>
        <v>0</v>
      </c>
      <c r="F63" s="17" t="str">
        <f>"Total " &amp; Table1414[[#Headers],[Misc]]</f>
        <v>Total Misc</v>
      </c>
      <c r="G63" s="12">
        <f>SUBTOTAL(9,Table1414[Budget])</f>
        <v>0</v>
      </c>
      <c r="H63" s="12">
        <f>SUBTOTAL(9,Table1414[Actual])</f>
        <v>0</v>
      </c>
      <c r="I63" s="9">
        <f>SUBTOTAL(9,Table1414[Difference])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774" priority="3" stopIfTrue="1" operator="lessThan">
      <formula>0</formula>
    </cfRule>
  </conditionalFormatting>
  <conditionalFormatting sqref="I48:I55">
    <cfRule type="cellIs" dxfId="773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 r:id="rId1"/>
  <headerFooter alignWithMargins="0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512792-2F1D-49F2-BA74-23651D5F05CF}">
  <dimension ref="A1"/>
  <sheetViews>
    <sheetView workbookViewId="0"/>
  </sheetViews>
  <sheetFormatPr defaultColWidth="9" defaultRowHeight="14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8DD27E-337B-4728-814A-E7709392D794}">
  <sheetPr>
    <pageSetUpPr fitToPage="1"/>
  </sheetPr>
  <dimension ref="A1:I157"/>
  <sheetViews>
    <sheetView showGridLines="0" workbookViewId="0">
      <selection activeCell="D28" sqref="D28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f>23211</f>
        <v>23211</v>
      </c>
      <c r="C5" s="6">
        <v>23211</v>
      </c>
      <c r="D5" s="7">
        <f t="shared" ref="D5:D11" si="0">C5-B5</f>
        <v>0</v>
      </c>
      <c r="F5" s="21" t="s">
        <v>8</v>
      </c>
      <c r="G5" s="18">
        <f>Table2224[[#Totals],[Budget]]</f>
        <v>24711</v>
      </c>
      <c r="H5" s="18">
        <f>Table2224[[#Totals],[Actual]]</f>
        <v>24711</v>
      </c>
      <c r="I5" s="18">
        <f>G5-H5</f>
        <v>0</v>
      </c>
    </row>
    <row r="6" spans="1:9" ht="16.5">
      <c r="A6" s="1" t="s">
        <v>9</v>
      </c>
      <c r="B6" s="6"/>
      <c r="C6" s="6"/>
      <c r="D6" s="7">
        <f t="shared" si="0"/>
        <v>0</v>
      </c>
      <c r="F6" s="21" t="s">
        <v>10</v>
      </c>
      <c r="G6" s="18">
        <f>SUM(,Table5425[[#Totals],[Budget]],Table201933[[#Totals],[Budget]],Table212334[[#Totals],[Budget]],Table191832[[#Totals],[Budget]],Table151731[[#Totals],[Budget]],Table141430[[#Totals],[Budget]],Table101329[[#Totals],[Budget]],Table81228[[#Totals],[Budget]],Table71027[[#Totals],[Budget]],Table6526[[#Totals],[Budget]])</f>
        <v>22619.3</v>
      </c>
      <c r="H6" s="18">
        <f>SUM(Table5425[[#Totals],[Actual]],Table201933[[#Totals],[Actual]],Table212334[[#Totals],[Actual]],Table191832[[#Totals],[Actual]],Table151731[[#Totals],[Actual]],Table141430[[#Totals],[Actual]],Table101329[[#Totals],[Actual]],Table81228[[#Totals],[Actual]],Table71027[[#Totals],[Actual]],Table6526[[#Totals],[Actual]])</f>
        <v>21471.3</v>
      </c>
      <c r="I6" s="18">
        <f>G6-H6</f>
        <v>1148</v>
      </c>
    </row>
    <row r="7" spans="1:9" ht="16.5">
      <c r="A7" s="1" t="s">
        <v>11</v>
      </c>
      <c r="B7" s="6"/>
      <c r="C7" s="6"/>
      <c r="D7" s="7">
        <f t="shared" si="0"/>
        <v>0</v>
      </c>
      <c r="F7" s="22" t="s">
        <v>12</v>
      </c>
      <c r="G7" s="23">
        <f>G5-G6</f>
        <v>2091.7000000000007</v>
      </c>
      <c r="H7" s="23">
        <f>H5-H6</f>
        <v>3239.7000000000007</v>
      </c>
      <c r="I7" s="23">
        <f>H7-G7</f>
        <v>1148</v>
      </c>
    </row>
    <row r="8" spans="1:9" s="2" customFormat="1">
      <c r="A8" s="1" t="s">
        <v>13</v>
      </c>
      <c r="B8" s="6">
        <v>1500</v>
      </c>
      <c r="C8" s="6">
        <v>1500</v>
      </c>
      <c r="D8" s="7">
        <f t="shared" si="0"/>
        <v>0</v>
      </c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/>
      <c r="D11" s="7">
        <f t="shared" si="0"/>
        <v>0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40"/>
      <c r="D12" s="7">
        <f>C12-B12</f>
        <v>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Table2224[[#Headers],[INCOME]]</f>
        <v>Total INCOME</v>
      </c>
      <c r="B13" s="12">
        <f>SUBTOTAL(9,Table2224[Budget])</f>
        <v>24711</v>
      </c>
      <c r="C13" s="12">
        <f>SUBTOTAL(9,Table2224[Actual])</f>
        <v>24711</v>
      </c>
      <c r="D13" s="9">
        <f>SUBTOTAL(9,Table2224[Difference])</f>
        <v>0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>
        <v>8000</v>
      </c>
      <c r="C16" s="6">
        <v>5000</v>
      </c>
      <c r="D16" s="35">
        <f>B16-C16</f>
        <v>3000</v>
      </c>
      <c r="F16" s="1" t="s">
        <v>25</v>
      </c>
      <c r="G16" s="10"/>
      <c r="H16" s="10">
        <f>93+49</f>
        <v>142</v>
      </c>
      <c r="I16" s="7">
        <f t="shared" si="1"/>
        <v>-142</v>
      </c>
    </row>
    <row r="17" spans="1:9">
      <c r="A17" s="1" t="s">
        <v>26</v>
      </c>
      <c r="B17" s="6">
        <v>350</v>
      </c>
      <c r="C17" s="6">
        <v>350</v>
      </c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B18" s="6"/>
      <c r="C18" s="6"/>
      <c r="D18" s="7">
        <f t="shared" si="2"/>
        <v>0</v>
      </c>
      <c r="F18" s="1" t="s">
        <v>44</v>
      </c>
      <c r="G18" s="10">
        <v>850</v>
      </c>
      <c r="H18" s="10">
        <v>850</v>
      </c>
      <c r="I18" s="7">
        <f t="shared" si="1"/>
        <v>0</v>
      </c>
    </row>
    <row r="19" spans="1:9">
      <c r="B19" s="6"/>
      <c r="C19" s="6"/>
      <c r="D19" s="7">
        <f t="shared" si="2"/>
        <v>0</v>
      </c>
      <c r="F19" s="1" t="s">
        <v>74</v>
      </c>
      <c r="G19" s="10">
        <v>299</v>
      </c>
      <c r="H19" s="10"/>
      <c r="I19" s="7">
        <f t="shared" si="1"/>
        <v>299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Table6526[[#Headers],[DAILY LIVING]]</f>
        <v>Total DAILY LIVING</v>
      </c>
      <c r="G21" s="12">
        <f>SUBTOTAL(9,Table6526[Budget])</f>
        <v>1149</v>
      </c>
      <c r="H21" s="12">
        <f>SUBTOTAL(9,Table6526[Actual])</f>
        <v>992</v>
      </c>
      <c r="I21" s="9">
        <f>SUBTOTAL(9,Table6526[Difference])</f>
        <v>157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31</v>
      </c>
      <c r="G24" s="10"/>
      <c r="H24" s="10"/>
      <c r="I24" s="7">
        <f t="shared" ref="I24:I34" si="3">G24-H24</f>
        <v>0</v>
      </c>
    </row>
    <row r="25" spans="1:9">
      <c r="B25" s="6"/>
      <c r="C25" s="6"/>
      <c r="D25" s="7">
        <f>B25-C25</f>
        <v>0</v>
      </c>
      <c r="F25" s="1" t="s">
        <v>32</v>
      </c>
      <c r="G25" s="10"/>
      <c r="H25" s="10"/>
      <c r="I25" s="7">
        <f t="shared" si="3"/>
        <v>0</v>
      </c>
    </row>
    <row r="26" spans="1:9">
      <c r="B26" s="6"/>
      <c r="C26" s="6"/>
      <c r="D26" s="7">
        <f t="shared" si="2"/>
        <v>0</v>
      </c>
      <c r="F26" s="1" t="s">
        <v>33</v>
      </c>
      <c r="G26" s="10"/>
      <c r="H26" s="39">
        <v>559</v>
      </c>
      <c r="I26" s="7">
        <f t="shared" si="3"/>
        <v>-559</v>
      </c>
    </row>
    <row r="27" spans="1:9">
      <c r="B27" s="6"/>
      <c r="C27" s="6"/>
      <c r="D27" s="7">
        <f t="shared" si="2"/>
        <v>0</v>
      </c>
      <c r="F27" s="1" t="s">
        <v>34</v>
      </c>
      <c r="G27" s="10"/>
      <c r="H27" s="10"/>
      <c r="I27" s="7">
        <f t="shared" si="3"/>
        <v>0</v>
      </c>
    </row>
    <row r="28" spans="1:9">
      <c r="B28" s="10"/>
      <c r="C28" s="10"/>
      <c r="D28" s="7">
        <f t="shared" si="2"/>
        <v>0</v>
      </c>
      <c r="F28" s="1" t="s">
        <v>35</v>
      </c>
      <c r="G28" s="10"/>
      <c r="H28" s="10"/>
      <c r="I28" s="7">
        <f t="shared" si="3"/>
        <v>0</v>
      </c>
    </row>
    <row r="29" spans="1:9">
      <c r="A29" s="17" t="str">
        <f>"Total " &amp; Table5425[[#Headers],[Gastos Vivienda]]</f>
        <v>Total Gastos Vivienda</v>
      </c>
      <c r="B29" s="12">
        <f>SUBTOTAL(9,Table5425[Budget])</f>
        <v>8350</v>
      </c>
      <c r="C29" s="12">
        <f>SUBTOTAL(9,Table5425[Actual])</f>
        <v>5350</v>
      </c>
      <c r="D29" s="9">
        <f>SUBTOTAL(9,Table5425[Difference])</f>
        <v>3000</v>
      </c>
      <c r="F29" s="1" t="s">
        <v>36</v>
      </c>
      <c r="G29" s="10"/>
      <c r="H29" s="10"/>
      <c r="I29" s="7">
        <f t="shared" si="3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3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>
        <v>750</v>
      </c>
      <c r="I31" s="7">
        <f t="shared" si="3"/>
        <v>0</v>
      </c>
    </row>
    <row r="32" spans="1:9">
      <c r="A32" s="1" t="s">
        <v>40</v>
      </c>
      <c r="B32" s="10"/>
      <c r="C32" s="10"/>
      <c r="D32" s="7">
        <f>B32-C32</f>
        <v>0</v>
      </c>
      <c r="F32" s="1" t="s">
        <v>76</v>
      </c>
      <c r="G32" s="10">
        <v>57</v>
      </c>
      <c r="H32" s="10">
        <v>57</v>
      </c>
      <c r="I32" s="7">
        <f t="shared" si="3"/>
        <v>0</v>
      </c>
    </row>
    <row r="33" spans="1:9">
      <c r="A33" s="1" t="s">
        <v>42</v>
      </c>
      <c r="B33" s="10"/>
      <c r="C33" s="10"/>
      <c r="D33" s="7">
        <f t="shared" ref="D33:D38" si="4">B33-C33</f>
        <v>0</v>
      </c>
      <c r="F33" s="1" t="s">
        <v>43</v>
      </c>
      <c r="G33" s="10"/>
      <c r="H33" s="10"/>
      <c r="I33" s="7">
        <f t="shared" si="3"/>
        <v>0</v>
      </c>
    </row>
    <row r="34" spans="1:9">
      <c r="A34" s="1" t="s">
        <v>44</v>
      </c>
      <c r="B34" s="10"/>
      <c r="C34" s="10">
        <v>350</v>
      </c>
      <c r="D34" s="7">
        <f>B34-C34</f>
        <v>-350</v>
      </c>
      <c r="G34" s="10"/>
      <c r="H34" s="10"/>
      <c r="I34" s="7">
        <f t="shared" si="3"/>
        <v>0</v>
      </c>
    </row>
    <row r="35" spans="1:9">
      <c r="A35" s="1" t="s">
        <v>45</v>
      </c>
      <c r="B35" s="10"/>
      <c r="C35" s="10"/>
      <c r="D35" s="7">
        <f t="shared" si="4"/>
        <v>0</v>
      </c>
      <c r="F35" s="17" t="str">
        <f>"Total " &amp; Table71027[[#Headers],[Diversion ]]</f>
        <v xml:space="preserve">Total Diversion </v>
      </c>
      <c r="G35" s="12">
        <f>SUBTOTAL(9,Table71027[Budget])</f>
        <v>807</v>
      </c>
      <c r="H35" s="12">
        <f>SUBTOTAL(9,Table71027[Actual])</f>
        <v>1366</v>
      </c>
      <c r="I35" s="9">
        <f>SUBTOTAL(9,Table71027[Difference])</f>
        <v>-559</v>
      </c>
    </row>
    <row r="36" spans="1:9">
      <c r="A36" s="1" t="s">
        <v>46</v>
      </c>
      <c r="B36" s="10"/>
      <c r="C36" s="10"/>
      <c r="D36" s="7">
        <f t="shared" si="4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77</v>
      </c>
      <c r="B38" s="10"/>
      <c r="C38" s="10">
        <v>600</v>
      </c>
      <c r="D38" s="7">
        <f t="shared" si="4"/>
        <v>-600</v>
      </c>
      <c r="F38" s="1" t="s">
        <v>49</v>
      </c>
      <c r="G38" s="10">
        <v>5000</v>
      </c>
      <c r="H38" s="10">
        <v>5000</v>
      </c>
      <c r="I38" s="7">
        <f>G38-H38</f>
        <v>0</v>
      </c>
    </row>
    <row r="39" spans="1:9">
      <c r="A39" s="17" t="str">
        <f>"Total " &amp; Table201933[[#Headers],[Transporte]]</f>
        <v>Total Transporte</v>
      </c>
      <c r="B39" s="12">
        <f>SUBTOTAL(9,Table201933[Budget])</f>
        <v>0</v>
      </c>
      <c r="C39" s="12">
        <f>SUBTOTAL(9,Table201933[Actual])</f>
        <v>950</v>
      </c>
      <c r="D39" s="9">
        <f>SUBTOTAL(9,Table201933[Difference])</f>
        <v>-950</v>
      </c>
      <c r="F39" s="1" t="s">
        <v>50</v>
      </c>
      <c r="G39" s="10">
        <v>2000</v>
      </c>
      <c r="H39" s="10">
        <v>2000</v>
      </c>
      <c r="I39" s="7">
        <f t="shared" ref="I39:I40" si="5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78</v>
      </c>
      <c r="B43" s="10"/>
      <c r="C43" s="10">
        <v>500</v>
      </c>
      <c r="D43" s="7">
        <f t="shared" si="6"/>
        <v>-500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79</v>
      </c>
      <c r="B45" s="10"/>
      <c r="C45" s="10"/>
      <c r="D45" s="7">
        <f t="shared" si="6"/>
        <v>0</v>
      </c>
      <c r="F45" s="17" t="str">
        <f>"Total " &amp; Table81228[[#Headers],[Ahorros]]</f>
        <v>Total Ahorros</v>
      </c>
      <c r="G45" s="12">
        <f>SUBTOTAL(9,Table81228[Budget])</f>
        <v>7000</v>
      </c>
      <c r="H45" s="12">
        <f>SUBTOTAL(9,Table81228[Actual])</f>
        <v>7000</v>
      </c>
      <c r="I45" s="9">
        <f>SUBTOTAL(9,Table81228[Difference])</f>
        <v>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>
        <v>3313.3</v>
      </c>
      <c r="H48" s="10">
        <v>3313.3</v>
      </c>
      <c r="I48" s="7">
        <f t="shared" ref="I48:I55" si="7">G48-H48</f>
        <v>0</v>
      </c>
    </row>
    <row r="49" spans="1:9">
      <c r="A49" s="17" t="str">
        <f>"Total " &amp; Table212334[[#Headers],[Salud]]</f>
        <v>Total Salud</v>
      </c>
      <c r="B49" s="12">
        <f>SUBTOTAL(9,Table212334[Budget])</f>
        <v>0</v>
      </c>
      <c r="C49" s="12">
        <f>SUBTOTAL(9,Table212334[Actual])</f>
        <v>500</v>
      </c>
      <c r="D49" s="9">
        <f>SUBTOTAL(9,Table212334[Difference])</f>
        <v>-500</v>
      </c>
      <c r="F49" s="1" t="s">
        <v>62</v>
      </c>
      <c r="G49" s="10">
        <v>2000</v>
      </c>
      <c r="H49" s="10">
        <v>2000</v>
      </c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/>
      <c r="C52" s="10"/>
      <c r="D52" s="7">
        <f t="shared" ref="D52:D55" si="8">B52-C52</f>
        <v>0</v>
      </c>
      <c r="G52" s="10"/>
      <c r="H52" s="10"/>
      <c r="I52" s="7">
        <f t="shared" si="7"/>
        <v>0</v>
      </c>
    </row>
    <row r="53" spans="1:9">
      <c r="A53" s="1" t="s">
        <v>66</v>
      </c>
      <c r="B53" s="10"/>
      <c r="C53" s="10"/>
      <c r="D53" s="7">
        <f t="shared" si="8"/>
        <v>0</v>
      </c>
      <c r="G53" s="10"/>
      <c r="H53" s="10"/>
      <c r="I53" s="7">
        <f t="shared" si="7"/>
        <v>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Table191832[[#Headers],[CHARITY/GIFTS]]</f>
        <v>Total CHARITY/GIFTS</v>
      </c>
      <c r="B56" s="12">
        <f>SUBTOTAL(9,Table191832[Budget])</f>
        <v>0</v>
      </c>
      <c r="C56" s="12">
        <f>SUBTOTAL(9,Table191832[Actual])</f>
        <v>0</v>
      </c>
      <c r="D56" s="9">
        <f>SUBTOTAL(9,Table191832[Difference])</f>
        <v>0</v>
      </c>
      <c r="F56" s="17" t="str">
        <f>"Total " &amp; Table101329[[#Headers],[Oblgiaciones ]]</f>
        <v xml:space="preserve">Total Oblgiaciones </v>
      </c>
      <c r="G56" s="12">
        <f>SUBTOTAL(9,Table101329[Budget])</f>
        <v>5313.3</v>
      </c>
      <c r="H56" s="12">
        <f>SUBTOTAL(9,Table101329[Actual])</f>
        <v>5313.3</v>
      </c>
      <c r="I56" s="9">
        <f>SUBTOTAL(9,Table101329[Difference])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71</v>
      </c>
      <c r="G59" s="6"/>
      <c r="H59" s="6"/>
      <c r="I59" s="7">
        <f t="shared" ref="I59:I62" si="10">G59-H59</f>
        <v>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17</v>
      </c>
      <c r="G60" s="6"/>
      <c r="H60" s="6"/>
      <c r="I60" s="7">
        <f t="shared" si="10"/>
        <v>0</v>
      </c>
    </row>
    <row r="61" spans="1:9">
      <c r="A61" s="1" t="s">
        <v>73</v>
      </c>
      <c r="B61" s="10"/>
      <c r="C61" s="10"/>
      <c r="D61" s="7">
        <f t="shared" si="9"/>
        <v>0</v>
      </c>
      <c r="G61" s="6"/>
      <c r="H61" s="6"/>
      <c r="I61" s="7">
        <f t="shared" si="10"/>
        <v>0</v>
      </c>
    </row>
    <row r="62" spans="1:9">
      <c r="B62" s="10"/>
      <c r="C62" s="10"/>
      <c r="D62" s="7">
        <f t="shared" si="9"/>
        <v>0</v>
      </c>
      <c r="G62" s="10"/>
      <c r="H62" s="10"/>
      <c r="I62" s="7">
        <f t="shared" si="10"/>
        <v>0</v>
      </c>
    </row>
    <row r="63" spans="1:9">
      <c r="A63" s="17" t="str">
        <f>"Total " &amp; Table151731[[#Headers],[Subscrpciones]]</f>
        <v>Total Subscrpciones</v>
      </c>
      <c r="B63" s="12">
        <f>SUBTOTAL(9,Table151731[Budget])</f>
        <v>0</v>
      </c>
      <c r="C63" s="12">
        <f>SUBTOTAL(9,Table151731[Actual])</f>
        <v>0</v>
      </c>
      <c r="D63" s="9">
        <f>SUBTOTAL(9,Table151731[Difference])</f>
        <v>0</v>
      </c>
      <c r="F63" s="17" t="str">
        <f>"Total " &amp; Table141430[[#Headers],[Misc]]</f>
        <v>Total Misc</v>
      </c>
      <c r="G63" s="12">
        <f>SUBTOTAL(9,Table141430[Budget])</f>
        <v>0</v>
      </c>
      <c r="H63" s="12">
        <f>SUBTOTAL(9,Table141430[Actual])</f>
        <v>0</v>
      </c>
      <c r="I63" s="9">
        <f>SUBTOTAL(9,Table141430[Difference])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645" priority="3" stopIfTrue="1" operator="lessThan">
      <formula>0</formula>
    </cfRule>
  </conditionalFormatting>
  <conditionalFormatting sqref="I48:I55">
    <cfRule type="cellIs" dxfId="644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/>
  <headerFooter alignWithMargins="0"/>
  <tableParts count="11">
    <tablePart r:id="rId1"/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116728-807F-4887-B7E9-764D75800C71}">
  <sheetPr>
    <pageSetUpPr fitToPage="1"/>
  </sheetPr>
  <dimension ref="A1:I157"/>
  <sheetViews>
    <sheetView showGridLines="0" workbookViewId="0">
      <selection activeCell="C17" sqref="C17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v>22211</v>
      </c>
      <c r="C5" s="6">
        <v>22211</v>
      </c>
      <c r="D5" s="7">
        <f t="shared" ref="D5:D11" si="0">C5-B5</f>
        <v>0</v>
      </c>
      <c r="F5" s="21" t="s">
        <v>8</v>
      </c>
      <c r="G5" s="18">
        <f>Table222435[[#Totals],[Budget]]</f>
        <v>30634</v>
      </c>
      <c r="H5" s="18">
        <f>Table222435[[#Totals],[Actual]]</f>
        <v>27211</v>
      </c>
      <c r="I5" s="18">
        <f>G5-H5</f>
        <v>3423</v>
      </c>
    </row>
    <row r="6" spans="1:9" ht="16.5">
      <c r="A6" s="1" t="s">
        <v>9</v>
      </c>
      <c r="B6" s="6"/>
      <c r="C6" s="6"/>
      <c r="D6" s="7">
        <f t="shared" si="0"/>
        <v>0</v>
      </c>
      <c r="F6" s="21" t="s">
        <v>10</v>
      </c>
      <c r="G6" s="18">
        <f>SUM(,Table542536[[#Totals],[Budget]],Table20193344[[#Totals],[Budget]],Table21233445[[#Totals],[Budget]],Table19183243[[#Totals],[Budget]],Table15173142[[#Totals],[Budget]],Table14143041[[#Totals],[Budget]],Table10132940[[#Totals],[Budget]],Table8122839[[#Totals],[Budget]],Table7102738[[#Totals],[Budget]],Table652637[[#Totals],[Budget]])</f>
        <v>17843.3</v>
      </c>
      <c r="H6" s="18">
        <f>SUM(Table542536[[#Totals],[Actual]],Table20193344[[#Totals],[Actual]],Table21233445[[#Totals],[Actual]],Table19183243[[#Totals],[Actual]],Table15173142[[#Totals],[Actual]],Table14143041[[#Totals],[Actual]],Table10132940[[#Totals],[Actual]],Table8122839[[#Totals],[Actual]],Table7102738[[#Totals],[Actual]],Table652637[[#Totals],[Actual]])</f>
        <v>18972.3</v>
      </c>
      <c r="I6" s="18">
        <f>G6-H6</f>
        <v>-1129</v>
      </c>
    </row>
    <row r="7" spans="1:9" ht="16.5">
      <c r="A7" s="1" t="s">
        <v>11</v>
      </c>
      <c r="B7" s="6"/>
      <c r="C7" s="6"/>
      <c r="D7" s="7">
        <f t="shared" si="0"/>
        <v>0</v>
      </c>
      <c r="F7" s="22" t="s">
        <v>12</v>
      </c>
      <c r="G7" s="23">
        <f>G5-G6</f>
        <v>12790.7</v>
      </c>
      <c r="H7" s="23">
        <f>H5-H6</f>
        <v>8238.7000000000007</v>
      </c>
      <c r="I7" s="23">
        <f>H7-G7</f>
        <v>-4552</v>
      </c>
    </row>
    <row r="8" spans="1:9" s="2" customFormat="1">
      <c r="A8" s="1" t="s">
        <v>13</v>
      </c>
      <c r="B8" s="6"/>
      <c r="C8" s="6">
        <v>1500</v>
      </c>
      <c r="D8" s="7">
        <f t="shared" si="0"/>
        <v>1500</v>
      </c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>
        <v>8423</v>
      </c>
      <c r="C11" s="6">
        <v>3000</v>
      </c>
      <c r="D11" s="7">
        <f t="shared" si="0"/>
        <v>-5423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40">
        <v>500</v>
      </c>
      <c r="D12" s="7">
        <f>C12-B12</f>
        <v>500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Table222435[[#Headers],[INCOME]]</f>
        <v>Total INCOME</v>
      </c>
      <c r="B13" s="12">
        <f>SUBTOTAL(9,Table222435[Budget])</f>
        <v>30634</v>
      </c>
      <c r="C13" s="12">
        <f>SUBTOTAL(9,Table222435[Actual])</f>
        <v>27211</v>
      </c>
      <c r="D13" s="9">
        <f>SUBTOTAL(9,Table222435[Difference])</f>
        <v>-3423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>
        <v>3000</v>
      </c>
      <c r="C16" s="6">
        <v>3000</v>
      </c>
      <c r="D16" s="35">
        <f>B16-C16</f>
        <v>0</v>
      </c>
      <c r="F16" s="1" t="s">
        <v>25</v>
      </c>
      <c r="G16" s="10">
        <v>500</v>
      </c>
      <c r="H16" s="10">
        <v>179</v>
      </c>
      <c r="I16" s="7">
        <f t="shared" si="1"/>
        <v>321</v>
      </c>
    </row>
    <row r="17" spans="1:9">
      <c r="A17" s="1" t="s">
        <v>26</v>
      </c>
      <c r="B17" s="6">
        <v>350</v>
      </c>
      <c r="C17" s="6">
        <v>350</v>
      </c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B18" s="6"/>
      <c r="C18" s="6"/>
      <c r="D18" s="7">
        <f t="shared" si="2"/>
        <v>0</v>
      </c>
      <c r="F18" s="1" t="s">
        <v>44</v>
      </c>
      <c r="G18" s="10"/>
      <c r="H18" s="10"/>
      <c r="I18" s="7">
        <f t="shared" si="1"/>
        <v>0</v>
      </c>
    </row>
    <row r="19" spans="1:9">
      <c r="B19" s="6"/>
      <c r="C19" s="6"/>
      <c r="D19" s="7">
        <f t="shared" si="2"/>
        <v>0</v>
      </c>
      <c r="F19" s="1" t="s">
        <v>74</v>
      </c>
      <c r="G19" s="10"/>
      <c r="H19" s="10"/>
      <c r="I19" s="7">
        <f t="shared" si="1"/>
        <v>0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Table652637[[#Headers],[DAILY LIVING]]</f>
        <v>Total DAILY LIVING</v>
      </c>
      <c r="G21" s="12">
        <f>SUBTOTAL(9,Table652637[Budget])</f>
        <v>500</v>
      </c>
      <c r="H21" s="12">
        <f>SUBTOTAL(9,Table652637[Actual])</f>
        <v>179</v>
      </c>
      <c r="I21" s="9">
        <f>SUBTOTAL(9,Table652637[Difference])</f>
        <v>321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31</v>
      </c>
      <c r="G24" s="10"/>
      <c r="H24" s="10"/>
      <c r="I24" s="7">
        <f t="shared" ref="I24:I34" si="3">G24-H24</f>
        <v>0</v>
      </c>
    </row>
    <row r="25" spans="1:9">
      <c r="B25" s="6"/>
      <c r="C25" s="6"/>
      <c r="D25" s="7">
        <f>B25-C25</f>
        <v>0</v>
      </c>
      <c r="F25" s="1" t="s">
        <v>32</v>
      </c>
      <c r="G25" s="10"/>
      <c r="H25" s="10"/>
      <c r="I25" s="7">
        <f t="shared" si="3"/>
        <v>0</v>
      </c>
    </row>
    <row r="26" spans="1:9">
      <c r="B26" s="6"/>
      <c r="C26" s="6"/>
      <c r="D26" s="7">
        <f t="shared" si="2"/>
        <v>0</v>
      </c>
      <c r="F26" s="1" t="s">
        <v>33</v>
      </c>
      <c r="G26" s="10"/>
      <c r="H26" s="39"/>
      <c r="I26" s="7">
        <f t="shared" si="3"/>
        <v>0</v>
      </c>
    </row>
    <row r="27" spans="1:9">
      <c r="B27" s="6"/>
      <c r="C27" s="6"/>
      <c r="D27" s="7">
        <f t="shared" si="2"/>
        <v>0</v>
      </c>
      <c r="F27" s="1" t="s">
        <v>34</v>
      </c>
      <c r="G27" s="10"/>
      <c r="H27" s="10"/>
      <c r="I27" s="7">
        <f t="shared" si="3"/>
        <v>0</v>
      </c>
    </row>
    <row r="28" spans="1:9">
      <c r="B28" s="10"/>
      <c r="C28" s="10"/>
      <c r="D28" s="7">
        <f t="shared" si="2"/>
        <v>0</v>
      </c>
      <c r="F28" s="1" t="s">
        <v>35</v>
      </c>
      <c r="G28" s="10"/>
      <c r="H28" s="10"/>
      <c r="I28" s="7">
        <f t="shared" si="3"/>
        <v>0</v>
      </c>
    </row>
    <row r="29" spans="1:9">
      <c r="A29" s="17" t="str">
        <f>"Total " &amp; Table542536[[#Headers],[Gastos Vivienda]]</f>
        <v>Total Gastos Vivienda</v>
      </c>
      <c r="B29" s="12">
        <f>SUBTOTAL(9,Table542536[Budget])</f>
        <v>3350</v>
      </c>
      <c r="C29" s="12">
        <f>SUBTOTAL(9,Table542536[Actual])</f>
        <v>3350</v>
      </c>
      <c r="D29" s="9">
        <f>SUBTOTAL(9,Table542536[Difference])</f>
        <v>0</v>
      </c>
      <c r="F29" s="1" t="s">
        <v>36</v>
      </c>
      <c r="G29" s="10"/>
      <c r="H29" s="10"/>
      <c r="I29" s="7">
        <f t="shared" si="3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3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>
        <v>750</v>
      </c>
      <c r="I31" s="7">
        <f t="shared" si="3"/>
        <v>0</v>
      </c>
    </row>
    <row r="32" spans="1:9">
      <c r="A32" s="1" t="s">
        <v>40</v>
      </c>
      <c r="B32" s="10">
        <v>750</v>
      </c>
      <c r="C32" s="10">
        <v>750</v>
      </c>
      <c r="D32" s="7">
        <f>B32-C32</f>
        <v>0</v>
      </c>
      <c r="F32" s="1" t="s">
        <v>76</v>
      </c>
      <c r="G32" s="10">
        <v>180</v>
      </c>
      <c r="H32" s="10">
        <v>180</v>
      </c>
      <c r="I32" s="7">
        <f t="shared" si="3"/>
        <v>0</v>
      </c>
    </row>
    <row r="33" spans="1:9">
      <c r="A33" s="1" t="s">
        <v>42</v>
      </c>
      <c r="B33" s="10"/>
      <c r="C33" s="10"/>
      <c r="D33" s="7">
        <f t="shared" ref="D33:D38" si="4">B33-C33</f>
        <v>0</v>
      </c>
      <c r="F33" s="1" t="s">
        <v>80</v>
      </c>
      <c r="G33" s="10"/>
      <c r="H33" s="10"/>
      <c r="I33" s="7">
        <f t="shared" si="3"/>
        <v>0</v>
      </c>
    </row>
    <row r="34" spans="1:9">
      <c r="A34" s="1" t="s">
        <v>44</v>
      </c>
      <c r="B34" s="10"/>
      <c r="C34" s="10">
        <v>350</v>
      </c>
      <c r="D34" s="7">
        <f>B34-C34</f>
        <v>-350</v>
      </c>
      <c r="G34" s="10"/>
      <c r="H34" s="10"/>
      <c r="I34" s="7">
        <f t="shared" si="3"/>
        <v>0</v>
      </c>
    </row>
    <row r="35" spans="1:9">
      <c r="A35" s="1" t="s">
        <v>45</v>
      </c>
      <c r="B35" s="10"/>
      <c r="C35" s="10"/>
      <c r="D35" s="7">
        <f t="shared" si="4"/>
        <v>0</v>
      </c>
      <c r="F35" s="17" t="str">
        <f>"Total " &amp; Table7102738[[#Headers],[Diversion ]]</f>
        <v xml:space="preserve">Total Diversion </v>
      </c>
      <c r="G35" s="12">
        <f>SUBTOTAL(9,Table7102738[Budget])</f>
        <v>930</v>
      </c>
      <c r="H35" s="12">
        <f>SUBTOTAL(9,Table7102738[Actual])</f>
        <v>930</v>
      </c>
      <c r="I35" s="9">
        <f>SUBTOTAL(9,Table7102738[Difference])</f>
        <v>0</v>
      </c>
    </row>
    <row r="36" spans="1:9">
      <c r="A36" s="1" t="s">
        <v>46</v>
      </c>
      <c r="B36" s="10"/>
      <c r="C36" s="10"/>
      <c r="D36" s="7">
        <f t="shared" si="4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77</v>
      </c>
      <c r="B38" s="10"/>
      <c r="C38" s="10">
        <v>600</v>
      </c>
      <c r="D38" s="7">
        <f t="shared" si="4"/>
        <v>-600</v>
      </c>
      <c r="F38" s="1" t="s">
        <v>49</v>
      </c>
      <c r="G38" s="10">
        <v>5000</v>
      </c>
      <c r="H38" s="10">
        <v>5000</v>
      </c>
      <c r="I38" s="7">
        <f>G38-H38</f>
        <v>0</v>
      </c>
    </row>
    <row r="39" spans="1:9">
      <c r="A39" s="17" t="str">
        <f>"Total " &amp; Table20193344[[#Headers],[Transporte]]</f>
        <v>Total Transporte</v>
      </c>
      <c r="B39" s="12">
        <f>SUBTOTAL(9,Table20193344[Budget])</f>
        <v>750</v>
      </c>
      <c r="C39" s="12">
        <f>SUBTOTAL(9,Table20193344[Actual])</f>
        <v>1700</v>
      </c>
      <c r="D39" s="9">
        <f>SUBTOTAL(9,Table20193344[Difference])</f>
        <v>-950</v>
      </c>
      <c r="F39" s="1" t="s">
        <v>50</v>
      </c>
      <c r="G39" s="10">
        <v>2000</v>
      </c>
      <c r="H39" s="10">
        <v>2000</v>
      </c>
      <c r="I39" s="7">
        <f t="shared" ref="I39:I40" si="5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78</v>
      </c>
      <c r="B43" s="10"/>
      <c r="C43" s="10">
        <v>500</v>
      </c>
      <c r="D43" s="7">
        <f t="shared" si="6"/>
        <v>-500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79</v>
      </c>
      <c r="B45" s="10"/>
      <c r="C45" s="10"/>
      <c r="D45" s="7">
        <f t="shared" si="6"/>
        <v>0</v>
      </c>
      <c r="F45" s="17" t="str">
        <f>"Total " &amp; Table8122839[[#Headers],[Ahorros]]</f>
        <v>Total Ahorros</v>
      </c>
      <c r="G45" s="12">
        <f>SUBTOTAL(9,Table8122839[Budget])</f>
        <v>7000</v>
      </c>
      <c r="H45" s="12">
        <f>SUBTOTAL(9,Table8122839[Actual])</f>
        <v>7000</v>
      </c>
      <c r="I45" s="9">
        <f>SUBTOTAL(9,Table8122839[Difference])</f>
        <v>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>
        <v>3313.3</v>
      </c>
      <c r="H48" s="10">
        <v>3313.3</v>
      </c>
      <c r="I48" s="7">
        <f t="shared" ref="I48:I55" si="7">G48-H48</f>
        <v>0</v>
      </c>
    </row>
    <row r="49" spans="1:9">
      <c r="A49" s="17" t="str">
        <f>"Total " &amp; Table21233445[[#Headers],[Salud]]</f>
        <v>Total Salud</v>
      </c>
      <c r="B49" s="12">
        <f>SUBTOTAL(9,Table21233445[Budget])</f>
        <v>0</v>
      </c>
      <c r="C49" s="12">
        <f>SUBTOTAL(9,Table21233445[Actual])</f>
        <v>500</v>
      </c>
      <c r="D49" s="9">
        <f>SUBTOTAL(9,Table21233445[Difference])</f>
        <v>-500</v>
      </c>
      <c r="F49" s="1" t="s">
        <v>62</v>
      </c>
      <c r="G49" s="10">
        <v>2000</v>
      </c>
      <c r="H49" s="10">
        <v>2000</v>
      </c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/>
      <c r="C52" s="10"/>
      <c r="D52" s="7">
        <f t="shared" ref="D52:D55" si="8">B52-C52</f>
        <v>0</v>
      </c>
      <c r="G52" s="10"/>
      <c r="H52" s="10"/>
      <c r="I52" s="7">
        <f t="shared" si="7"/>
        <v>0</v>
      </c>
    </row>
    <row r="53" spans="1:9">
      <c r="A53" s="1" t="s">
        <v>66</v>
      </c>
      <c r="B53" s="10"/>
      <c r="C53" s="10"/>
      <c r="D53" s="7">
        <f t="shared" si="8"/>
        <v>0</v>
      </c>
      <c r="G53" s="10"/>
      <c r="H53" s="10"/>
      <c r="I53" s="7">
        <f t="shared" si="7"/>
        <v>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Table19183243[[#Headers],[CHARITY/GIFTS]]</f>
        <v>Total CHARITY/GIFTS</v>
      </c>
      <c r="B56" s="12">
        <f>SUBTOTAL(9,Table19183243[Budget])</f>
        <v>0</v>
      </c>
      <c r="C56" s="12">
        <f>SUBTOTAL(9,Table19183243[Actual])</f>
        <v>0</v>
      </c>
      <c r="D56" s="9">
        <f>SUBTOTAL(9,Table19183243[Difference])</f>
        <v>0</v>
      </c>
      <c r="F56" s="17" t="str">
        <f>"Total " &amp; Table10132940[[#Headers],[Oblgiaciones ]]</f>
        <v xml:space="preserve">Total Oblgiaciones </v>
      </c>
      <c r="G56" s="12">
        <f>SUBTOTAL(9,Table10132940[Budget])</f>
        <v>5313.3</v>
      </c>
      <c r="H56" s="12">
        <f>SUBTOTAL(9,Table10132940[Actual])</f>
        <v>5313.3</v>
      </c>
      <c r="I56" s="9">
        <f>SUBTOTAL(9,Table10132940[Difference])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71</v>
      </c>
      <c r="G59" s="6"/>
      <c r="H59" s="6"/>
      <c r="I59" s="7">
        <f t="shared" ref="I59:I62" si="10">G59-H59</f>
        <v>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17</v>
      </c>
      <c r="G60" s="6"/>
      <c r="H60" s="6"/>
      <c r="I60" s="7">
        <f t="shared" si="10"/>
        <v>0</v>
      </c>
    </row>
    <row r="61" spans="1:9">
      <c r="A61" s="1" t="s">
        <v>73</v>
      </c>
      <c r="B61" s="10"/>
      <c r="C61" s="10"/>
      <c r="D61" s="7">
        <f t="shared" si="9"/>
        <v>0</v>
      </c>
      <c r="G61" s="6"/>
      <c r="H61" s="6"/>
      <c r="I61" s="7">
        <f t="shared" si="10"/>
        <v>0</v>
      </c>
    </row>
    <row r="62" spans="1:9">
      <c r="B62" s="10"/>
      <c r="C62" s="10"/>
      <c r="D62" s="7">
        <f t="shared" si="9"/>
        <v>0</v>
      </c>
      <c r="G62" s="10"/>
      <c r="H62" s="10"/>
      <c r="I62" s="7">
        <f t="shared" si="10"/>
        <v>0</v>
      </c>
    </row>
    <row r="63" spans="1:9">
      <c r="A63" s="17" t="str">
        <f>"Total " &amp; Table15173142[[#Headers],[Subscrpciones]]</f>
        <v>Total Subscrpciones</v>
      </c>
      <c r="B63" s="12">
        <f>SUBTOTAL(9,Table15173142[Budget])</f>
        <v>0</v>
      </c>
      <c r="C63" s="12">
        <f>SUBTOTAL(9,Table15173142[Actual])</f>
        <v>0</v>
      </c>
      <c r="D63" s="9">
        <f>SUBTOTAL(9,Table15173142[Difference])</f>
        <v>0</v>
      </c>
      <c r="F63" s="17" t="str">
        <f>"Total " &amp; Table14143041[[#Headers],[Misc]]</f>
        <v>Total Misc</v>
      </c>
      <c r="G63" s="12">
        <f>SUBTOTAL(9,Table14143041[Budget])</f>
        <v>0</v>
      </c>
      <c r="H63" s="12">
        <f>SUBTOTAL(9,Table14143041[Actual])</f>
        <v>0</v>
      </c>
      <c r="I63" s="9">
        <f>SUBTOTAL(9,Table14143041[Difference])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515" priority="3" stopIfTrue="1" operator="lessThan">
      <formula>0</formula>
    </cfRule>
  </conditionalFormatting>
  <conditionalFormatting sqref="I48:I55">
    <cfRule type="cellIs" dxfId="514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/>
  <headerFooter alignWithMargins="0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725137-8EE2-4066-A96D-2DFD3200D0E6}">
  <sheetPr>
    <pageSetUpPr fitToPage="1"/>
  </sheetPr>
  <dimension ref="A1:I157"/>
  <sheetViews>
    <sheetView showGridLines="0" workbookViewId="0">
      <selection activeCell="H5" sqref="H5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v>22211</v>
      </c>
      <c r="C5" s="6"/>
      <c r="D5" s="7">
        <f t="shared" ref="D5:D11" si="0">C5-B5</f>
        <v>-22211</v>
      </c>
      <c r="F5" s="21" t="s">
        <v>8</v>
      </c>
      <c r="G5" s="18">
        <f>Table22243546[[#Totals],[Budget]]</f>
        <v>29402</v>
      </c>
      <c r="H5" s="18">
        <f>Table22243546[[#Totals],[Actual]]</f>
        <v>0</v>
      </c>
      <c r="I5" s="18">
        <f>G5-H5</f>
        <v>29402</v>
      </c>
    </row>
    <row r="6" spans="1:9" ht="17.25" thickBot="1">
      <c r="A6" s="1" t="s">
        <v>81</v>
      </c>
      <c r="B6" s="6">
        <v>1500</v>
      </c>
      <c r="C6" s="6"/>
      <c r="D6" s="7">
        <f t="shared" si="0"/>
        <v>-1500</v>
      </c>
      <c r="F6" s="21" t="s">
        <v>10</v>
      </c>
      <c r="G6" s="18">
        <f>SUM(,Table54253647[[#Totals],[Budget]],Table2019334455[[#Totals],[Budget]],Table2123344556[[#Totals],[Budget]],Table1918324354[[#Totals],[Budget]],Table1517314253[[#Totals],[Budget]],Table1414304152[[#Totals],[Budget]],Table1013294051[[#Totals],[Budget]],Table812283950[[#Totals],[Budget]],Table710273849[[#Totals],[Budget]],Table65263748[[#Totals],[Budget]])</f>
        <v>29402</v>
      </c>
      <c r="H6" s="18">
        <f>SUM(Table54253647[[#Totals],[Actual]],Table2019334455[[#Totals],[Actual]],Table2123344556[[#Totals],[Actual]],Table1918324354[[#Totals],[Actual]],Table1517314253[[#Totals],[Actual]],Table1414304152[[#Totals],[Actual]],Table1013294051[[#Totals],[Actual]],Table812283950[[#Totals],[Actual]],Table710273849[[#Totals],[Actual]],Table65263748[[#Totals],[Actual]])</f>
        <v>0</v>
      </c>
      <c r="I6" s="18">
        <f>G6-H6</f>
        <v>29402</v>
      </c>
    </row>
    <row r="7" spans="1:9" ht="17.25" thickTop="1">
      <c r="A7" s="1" t="s">
        <v>82</v>
      </c>
      <c r="B7" s="6">
        <v>5691</v>
      </c>
      <c r="C7" s="6"/>
      <c r="D7" s="7">
        <f t="shared" si="0"/>
        <v>-5691</v>
      </c>
      <c r="F7" s="22" t="s">
        <v>12</v>
      </c>
      <c r="G7" s="23">
        <f>G5-G6</f>
        <v>0</v>
      </c>
      <c r="H7" s="23">
        <f>H5-H6</f>
        <v>0</v>
      </c>
      <c r="I7" s="23">
        <f>H7-G7</f>
        <v>0</v>
      </c>
    </row>
    <row r="8" spans="1:9" s="2" customFormat="1">
      <c r="A8" s="1" t="s">
        <v>13</v>
      </c>
      <c r="B8" s="6"/>
      <c r="C8" s="6"/>
      <c r="D8" s="7">
        <f t="shared" si="0"/>
        <v>0</v>
      </c>
      <c r="G8" s="51"/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/>
      <c r="D11" s="7">
        <f t="shared" si="0"/>
        <v>0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40"/>
      <c r="D12" s="7">
        <f>C12-B12</f>
        <v>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Table22243546[[#Headers],[INCOME]]</f>
        <v>Total INCOME</v>
      </c>
      <c r="B13" s="12">
        <f>SUBTOTAL(9,Table22243546[Budget])</f>
        <v>29402</v>
      </c>
      <c r="C13" s="12">
        <f>SUBTOTAL(9,Table22243546[Actual])</f>
        <v>0</v>
      </c>
      <c r="D13" s="9">
        <f>SUBTOTAL(9,Table22243546[Difference])</f>
        <v>-29402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/>
      <c r="C16" s="6"/>
      <c r="D16" s="35">
        <f>B16-C16</f>
        <v>0</v>
      </c>
      <c r="F16" s="1" t="s">
        <v>25</v>
      </c>
      <c r="G16" s="10"/>
      <c r="H16" s="10"/>
      <c r="I16" s="7">
        <f t="shared" si="1"/>
        <v>0</v>
      </c>
    </row>
    <row r="17" spans="1:9">
      <c r="A17" s="1" t="s">
        <v>26</v>
      </c>
      <c r="B17" s="6"/>
      <c r="C17" s="6"/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B18" s="6"/>
      <c r="C18" s="6"/>
      <c r="D18" s="7">
        <f t="shared" si="2"/>
        <v>0</v>
      </c>
      <c r="F18" s="1" t="s">
        <v>44</v>
      </c>
      <c r="G18" s="10"/>
      <c r="H18" s="10"/>
      <c r="I18" s="7">
        <f t="shared" si="1"/>
        <v>0</v>
      </c>
    </row>
    <row r="19" spans="1:9">
      <c r="B19" s="6"/>
      <c r="C19" s="6"/>
      <c r="D19" s="7">
        <f t="shared" si="2"/>
        <v>0</v>
      </c>
      <c r="F19" s="1" t="s">
        <v>74</v>
      </c>
      <c r="G19" s="10"/>
      <c r="H19" s="10"/>
      <c r="I19" s="7">
        <f t="shared" si="1"/>
        <v>0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Table65263748[[#Headers],[DAILY LIVING]]</f>
        <v>Total DAILY LIVING</v>
      </c>
      <c r="G21" s="12">
        <f>SUBTOTAL(9,Table65263748[Budget])</f>
        <v>0</v>
      </c>
      <c r="H21" s="12">
        <f>SUBTOTAL(9,Table65263748[Actual])</f>
        <v>0</v>
      </c>
      <c r="I21" s="9">
        <f>SUBTOTAL(9,Table65263748[Difference])</f>
        <v>0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83</v>
      </c>
      <c r="G24" s="10">
        <v>132</v>
      </c>
      <c r="H24" s="10"/>
      <c r="I24" s="7">
        <f t="shared" ref="I24:I34" si="3">G24-H24</f>
        <v>132</v>
      </c>
    </row>
    <row r="25" spans="1:9">
      <c r="B25" s="6"/>
      <c r="C25" s="6"/>
      <c r="D25" s="7">
        <f>B25-C25</f>
        <v>0</v>
      </c>
      <c r="F25" s="1" t="s">
        <v>84</v>
      </c>
      <c r="G25" s="10">
        <v>952</v>
      </c>
      <c r="H25" s="10"/>
      <c r="I25" s="7">
        <f t="shared" si="3"/>
        <v>952</v>
      </c>
    </row>
    <row r="26" spans="1:9">
      <c r="B26" s="6"/>
      <c r="C26" s="6"/>
      <c r="D26" s="7">
        <f t="shared" si="2"/>
        <v>0</v>
      </c>
      <c r="F26" s="1" t="s">
        <v>85</v>
      </c>
      <c r="G26" s="10">
        <v>623</v>
      </c>
      <c r="H26" s="39"/>
      <c r="I26" s="7">
        <f t="shared" si="3"/>
        <v>623</v>
      </c>
    </row>
    <row r="27" spans="1:9">
      <c r="B27" s="6"/>
      <c r="C27" s="6"/>
      <c r="D27" s="7">
        <f t="shared" si="2"/>
        <v>0</v>
      </c>
      <c r="F27" s="1" t="s">
        <v>86</v>
      </c>
      <c r="G27" s="10">
        <v>951</v>
      </c>
      <c r="H27" s="10"/>
      <c r="I27" s="7">
        <f t="shared" si="3"/>
        <v>951</v>
      </c>
    </row>
    <row r="28" spans="1:9">
      <c r="B28" s="10"/>
      <c r="C28" s="10"/>
      <c r="D28" s="7">
        <f t="shared" si="2"/>
        <v>0</v>
      </c>
      <c r="F28" s="1" t="s">
        <v>87</v>
      </c>
      <c r="G28" s="10">
        <v>250</v>
      </c>
      <c r="H28" s="10"/>
      <c r="I28" s="7">
        <f t="shared" si="3"/>
        <v>250</v>
      </c>
    </row>
    <row r="29" spans="1:9">
      <c r="A29" s="17" t="str">
        <f>"Total " &amp; Table54253647[[#Headers],[Gastos Vivienda]]</f>
        <v>Total Gastos Vivienda</v>
      </c>
      <c r="B29" s="12">
        <f>SUBTOTAL(9,Table54253647[Budget])</f>
        <v>0</v>
      </c>
      <c r="C29" s="12">
        <f>SUBTOTAL(9,Table54253647[Actual])</f>
        <v>0</v>
      </c>
      <c r="D29" s="9">
        <f>SUBTOTAL(9,Table54253647[Difference])</f>
        <v>0</v>
      </c>
      <c r="F29" s="1" t="s">
        <v>88</v>
      </c>
      <c r="G29" s="10">
        <f>84+1200</f>
        <v>1284</v>
      </c>
      <c r="H29" s="10"/>
      <c r="I29" s="7">
        <f t="shared" si="3"/>
        <v>1284</v>
      </c>
    </row>
    <row r="30" spans="1:9">
      <c r="B30" s="11"/>
      <c r="C30" s="11"/>
      <c r="D30" s="11"/>
      <c r="F30" s="1" t="s">
        <v>37</v>
      </c>
      <c r="G30" s="10">
        <f>817+624+275+189+217+500+200+76+503</f>
        <v>3401</v>
      </c>
      <c r="H30" s="10"/>
      <c r="I30" s="7">
        <f t="shared" si="3"/>
        <v>3401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/>
      <c r="I31" s="7">
        <f t="shared" si="3"/>
        <v>750</v>
      </c>
    </row>
    <row r="32" spans="1:9">
      <c r="A32" s="1" t="s">
        <v>40</v>
      </c>
      <c r="B32" s="10">
        <v>4000</v>
      </c>
      <c r="C32" s="10"/>
      <c r="D32" s="7">
        <f>B32-C32</f>
        <v>4000</v>
      </c>
      <c r="F32" s="1" t="s">
        <v>76</v>
      </c>
      <c r="G32" s="10">
        <v>180</v>
      </c>
      <c r="H32" s="10"/>
      <c r="I32" s="7">
        <f t="shared" si="3"/>
        <v>180</v>
      </c>
    </row>
    <row r="33" spans="1:9">
      <c r="A33" s="1" t="s">
        <v>42</v>
      </c>
      <c r="B33" s="10">
        <v>809</v>
      </c>
      <c r="C33" s="10"/>
      <c r="D33" s="7">
        <f t="shared" ref="D33:D38" si="4">B33-C33</f>
        <v>809</v>
      </c>
      <c r="F33" s="1" t="s">
        <v>89</v>
      </c>
      <c r="G33" s="10">
        <v>1327</v>
      </c>
      <c r="H33" s="10"/>
      <c r="I33" s="7">
        <f t="shared" si="3"/>
        <v>1327</v>
      </c>
    </row>
    <row r="34" spans="1:9">
      <c r="A34" s="1" t="s">
        <v>44</v>
      </c>
      <c r="B34" s="10">
        <f>800+500</f>
        <v>1300</v>
      </c>
      <c r="C34" s="10"/>
      <c r="D34" s="7">
        <f>B34-C34</f>
        <v>1300</v>
      </c>
      <c r="F34" s="1" t="s">
        <v>90</v>
      </c>
      <c r="G34" s="10">
        <f>147+121+317+1000</f>
        <v>1585</v>
      </c>
      <c r="H34" s="10"/>
      <c r="I34" s="7">
        <f t="shared" si="3"/>
        <v>1585</v>
      </c>
    </row>
    <row r="35" spans="1:9">
      <c r="A35" s="1" t="s">
        <v>91</v>
      </c>
      <c r="B35" s="10">
        <v>3300</v>
      </c>
      <c r="C35" s="10"/>
      <c r="D35" s="7">
        <f t="shared" si="4"/>
        <v>3300</v>
      </c>
      <c r="F35" s="17" t="str">
        <f>"Total " &amp; Table710273849[[#Headers],[Diversion ]]</f>
        <v xml:space="preserve">Total Diversion </v>
      </c>
      <c r="G35" s="12">
        <f>SUBTOTAL(9,Table710273849[Budget])</f>
        <v>11435</v>
      </c>
      <c r="H35" s="12">
        <f>SUBTOTAL(9,Table710273849[Actual])</f>
        <v>0</v>
      </c>
      <c r="I35" s="9">
        <f>SUBTOTAL(9,Table710273849[Difference])</f>
        <v>11435</v>
      </c>
    </row>
    <row r="36" spans="1:9">
      <c r="A36" s="1" t="s">
        <v>44</v>
      </c>
      <c r="B36" s="10">
        <v>482</v>
      </c>
      <c r="C36" s="10"/>
      <c r="D36" s="7">
        <f t="shared" si="4"/>
        <v>482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77</v>
      </c>
      <c r="B38" s="10"/>
      <c r="C38" s="10"/>
      <c r="D38" s="7">
        <f t="shared" si="4"/>
        <v>0</v>
      </c>
      <c r="F38" s="1" t="s">
        <v>49</v>
      </c>
      <c r="G38" s="10"/>
      <c r="H38" s="10"/>
      <c r="I38" s="7">
        <f>G38-H38</f>
        <v>0</v>
      </c>
    </row>
    <row r="39" spans="1:9">
      <c r="A39" s="17" t="str">
        <f>"Total " &amp; Table2019334455[[#Headers],[Transporte]]</f>
        <v>Total Transporte</v>
      </c>
      <c r="B39" s="12">
        <f>SUBTOTAL(9,Table2019334455[Budget])</f>
        <v>9891</v>
      </c>
      <c r="C39" s="12">
        <f>SUBTOTAL(9,Table2019334455[Actual])</f>
        <v>0</v>
      </c>
      <c r="D39" s="9">
        <f>SUBTOTAL(9,Table2019334455[Difference])</f>
        <v>9891</v>
      </c>
      <c r="F39" s="1" t="s">
        <v>50</v>
      </c>
      <c r="G39" s="10">
        <v>1500</v>
      </c>
      <c r="H39" s="10"/>
      <c r="I39" s="7">
        <f t="shared" ref="I39:I40" si="5">G39-H39</f>
        <v>1500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78</v>
      </c>
      <c r="B43" s="10"/>
      <c r="C43" s="10"/>
      <c r="D43" s="7">
        <f t="shared" si="6"/>
        <v>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79</v>
      </c>
      <c r="B45" s="10"/>
      <c r="C45" s="10"/>
      <c r="D45" s="7">
        <f t="shared" si="6"/>
        <v>0</v>
      </c>
      <c r="F45" s="17" t="str">
        <f>"Total " &amp; Table812283950[[#Headers],[Ahorros]]</f>
        <v>Total Ahorros</v>
      </c>
      <c r="G45" s="12">
        <f>SUBTOTAL(9,Table812283950[Budget])</f>
        <v>1500</v>
      </c>
      <c r="H45" s="12">
        <f>SUBTOTAL(9,Table812283950[Actual])</f>
        <v>0</v>
      </c>
      <c r="I45" s="9">
        <f>SUBTOTAL(9,Table812283950[Difference])</f>
        <v>1500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/>
      <c r="H48" s="10"/>
      <c r="I48" s="7">
        <f t="shared" ref="I48:I55" si="7">G48-H48</f>
        <v>0</v>
      </c>
    </row>
    <row r="49" spans="1:9">
      <c r="A49" s="17" t="str">
        <f>"Total " &amp; Table2123344556[[#Headers],[Salud]]</f>
        <v>Total Salud</v>
      </c>
      <c r="B49" s="12">
        <f>SUBTOTAL(9,Table2123344556[Budget])</f>
        <v>0</v>
      </c>
      <c r="C49" s="12">
        <f>SUBTOTAL(9,Table2123344556[Actual])</f>
        <v>0</v>
      </c>
      <c r="D49" s="9">
        <f>SUBTOTAL(9,Table2123344556[Difference])</f>
        <v>0</v>
      </c>
      <c r="F49" s="1" t="s">
        <v>62</v>
      </c>
      <c r="G49" s="10"/>
      <c r="H49" s="10"/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>
        <v>1378</v>
      </c>
      <c r="C52" s="10"/>
      <c r="D52" s="7">
        <f t="shared" ref="D52:D55" si="8">B52-C52</f>
        <v>1378</v>
      </c>
      <c r="F52" s="1" t="s">
        <v>92</v>
      </c>
      <c r="G52" s="10">
        <v>150</v>
      </c>
      <c r="H52" s="10"/>
      <c r="I52" s="7">
        <f t="shared" si="7"/>
        <v>150</v>
      </c>
    </row>
    <row r="53" spans="1:9">
      <c r="A53" s="1" t="s">
        <v>66</v>
      </c>
      <c r="B53" s="10">
        <v>1000</v>
      </c>
      <c r="C53" s="10"/>
      <c r="D53" s="7">
        <f t="shared" si="8"/>
        <v>1000</v>
      </c>
      <c r="F53" s="1" t="s">
        <v>93</v>
      </c>
      <c r="G53" s="10">
        <v>220</v>
      </c>
      <c r="H53" s="10"/>
      <c r="I53" s="7">
        <f t="shared" si="7"/>
        <v>220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Table1918324354[[#Headers],[CHARITY/GIFTS]]</f>
        <v>Total CHARITY/GIFTS</v>
      </c>
      <c r="B56" s="12">
        <f>SUBTOTAL(9,Table1918324354[Budget])</f>
        <v>2378</v>
      </c>
      <c r="C56" s="12">
        <f>SUBTOTAL(9,Table1918324354[Actual])</f>
        <v>0</v>
      </c>
      <c r="D56" s="9">
        <f>SUBTOTAL(9,Table1918324354[Difference])</f>
        <v>2378</v>
      </c>
      <c r="F56" s="17" t="str">
        <f>"Total " &amp; Table1013294051[[#Headers],[Oblgiaciones ]]</f>
        <v xml:space="preserve">Total Oblgiaciones </v>
      </c>
      <c r="G56" s="12">
        <f>SUBTOTAL(9,Table1013294051[Budget])</f>
        <v>370</v>
      </c>
      <c r="H56" s="12">
        <f>SUBTOTAL(9,Table1013294051[Actual])</f>
        <v>0</v>
      </c>
      <c r="I56" s="9">
        <f>SUBTOTAL(9,Table1013294051[Difference])</f>
        <v>370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94</v>
      </c>
      <c r="G59" s="6">
        <v>500</v>
      </c>
      <c r="H59" s="6"/>
      <c r="I59" s="7">
        <f t="shared" ref="I59:I62" si="10">G59-H59</f>
        <v>500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20</v>
      </c>
      <c r="G60" s="6">
        <v>1200</v>
      </c>
      <c r="H60" s="6"/>
      <c r="I60" s="7">
        <f t="shared" si="10"/>
        <v>1200</v>
      </c>
    </row>
    <row r="61" spans="1:9">
      <c r="A61" s="1" t="s">
        <v>73</v>
      </c>
      <c r="B61" s="10"/>
      <c r="C61" s="10"/>
      <c r="D61" s="7">
        <f t="shared" si="9"/>
        <v>0</v>
      </c>
      <c r="F61" s="1" t="s">
        <v>95</v>
      </c>
      <c r="G61" s="6">
        <f>765+35+299+191+15+38+38+50+50+185+15</f>
        <v>1681</v>
      </c>
      <c r="H61" s="6"/>
      <c r="I61" s="7">
        <f t="shared" si="10"/>
        <v>1681</v>
      </c>
    </row>
    <row r="62" spans="1:9">
      <c r="B62" s="10"/>
      <c r="C62" s="10"/>
      <c r="D62" s="7">
        <f t="shared" si="9"/>
        <v>0</v>
      </c>
      <c r="F62" s="1" t="s">
        <v>96</v>
      </c>
      <c r="G62" s="10">
        <f>129+180+40+38+21+39</f>
        <v>447</v>
      </c>
      <c r="H62" s="10"/>
      <c r="I62" s="7">
        <f t="shared" si="10"/>
        <v>447</v>
      </c>
    </row>
    <row r="63" spans="1:9">
      <c r="A63" s="17" t="str">
        <f>"Total " &amp; Table1517314253[[#Headers],[Subscrpciones]]</f>
        <v>Total Subscrpciones</v>
      </c>
      <c r="B63" s="12">
        <f>SUBTOTAL(9,Table1517314253[Budget])</f>
        <v>0</v>
      </c>
      <c r="C63" s="12">
        <f>SUBTOTAL(9,Table1517314253[Actual])</f>
        <v>0</v>
      </c>
      <c r="D63" s="9">
        <f>SUBTOTAL(9,Table1517314253[Difference])</f>
        <v>0</v>
      </c>
      <c r="F63" s="17" t="str">
        <f>"Total " &amp; Table1414304152[[#Headers],[Misc]]</f>
        <v>Total Misc</v>
      </c>
      <c r="G63" s="12">
        <f>SUBTOTAL(9,Table1414304152[Budget])</f>
        <v>3828</v>
      </c>
      <c r="H63" s="12">
        <f>SUBTOTAL(9,Table1414304152[Actual])</f>
        <v>0</v>
      </c>
      <c r="I63" s="9">
        <f>SUBTOTAL(9,Table1414304152[Difference])</f>
        <v>3828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386" priority="3" stopIfTrue="1" operator="lessThan">
      <formula>0</formula>
    </cfRule>
  </conditionalFormatting>
  <conditionalFormatting sqref="I48:I55">
    <cfRule type="cellIs" dxfId="385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/>
  <headerFooter alignWithMargins="0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1136F6-2616-4026-A483-012886F68944}">
  <sheetPr>
    <pageSetUpPr fitToPage="1"/>
  </sheetPr>
  <dimension ref="A1:I157"/>
  <sheetViews>
    <sheetView showGridLines="0" workbookViewId="0">
      <selection activeCell="G31" sqref="G31"/>
    </sheetView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v>22211</v>
      </c>
      <c r="C5" s="6">
        <v>22211</v>
      </c>
      <c r="D5" s="7">
        <f t="shared" ref="D5:D11" si="0">C5-B5</f>
        <v>0</v>
      </c>
      <c r="F5" s="21" t="s">
        <v>8</v>
      </c>
      <c r="G5" s="18">
        <f>Table2224354657[[#Totals],[Budget]]</f>
        <v>23711</v>
      </c>
      <c r="H5" s="18">
        <f>Table2224354657[[#Totals],[Actual]]</f>
        <v>23711</v>
      </c>
      <c r="I5" s="18">
        <f>G5-H5</f>
        <v>0</v>
      </c>
    </row>
    <row r="6" spans="1:9" ht="16.5">
      <c r="A6" s="1" t="s">
        <v>81</v>
      </c>
      <c r="B6" s="6">
        <v>1500</v>
      </c>
      <c r="C6" s="6">
        <v>1500</v>
      </c>
      <c r="D6" s="7">
        <f t="shared" si="0"/>
        <v>0</v>
      </c>
      <c r="F6" s="21" t="s">
        <v>10</v>
      </c>
      <c r="G6" s="18">
        <f>SUM(,Table5425364758[[#Totals],[Budget]],Table201933445566[[#Totals],[Budget]],Table212334455667[[#Totals],[Budget]],Table191832435465[[#Totals],[Budget]],Table151731425364[[#Totals],[Budget]],Table141430415263[[#Totals],[Budget]],Table101329405162[[#Totals],[Budget]],Table81228395061[[#Totals],[Budget]],Table71027384960[[#Totals],[Budget]],Table6526374859[[#Totals],[Budget]])</f>
        <v>5579</v>
      </c>
      <c r="H6" s="18">
        <f>SUM(Table5425364758[[#Totals],[Actual]],Table201933445566[[#Totals],[Actual]],Table212334455667[[#Totals],[Actual]],Table191832435465[[#Totals],[Actual]],Table151731425364[[#Totals],[Actual]],Table141430415263[[#Totals],[Actual]],Table101329405162[[#Totals],[Actual]],Table81228395061[[#Totals],[Actual]],Table71027384960[[#Totals],[Actual]],Table6526374859[[#Totals],[Actual]])</f>
        <v>5579</v>
      </c>
      <c r="I6" s="18">
        <f>G6-H6</f>
        <v>0</v>
      </c>
    </row>
    <row r="7" spans="1:9" ht="16.5">
      <c r="A7" s="1" t="s">
        <v>82</v>
      </c>
      <c r="B7" s="6"/>
      <c r="C7" s="6"/>
      <c r="D7" s="7">
        <f t="shared" si="0"/>
        <v>0</v>
      </c>
      <c r="F7" s="22" t="s">
        <v>12</v>
      </c>
      <c r="G7" s="23">
        <f>G5-G6</f>
        <v>18132</v>
      </c>
      <c r="H7" s="23">
        <f>H5-H6</f>
        <v>18132</v>
      </c>
      <c r="I7" s="23">
        <f>H7-G7</f>
        <v>0</v>
      </c>
    </row>
    <row r="8" spans="1:9" s="2" customFormat="1">
      <c r="A8" s="1" t="s">
        <v>13</v>
      </c>
      <c r="B8" s="6"/>
      <c r="C8" s="6"/>
      <c r="D8" s="7">
        <f t="shared" si="0"/>
        <v>0</v>
      </c>
      <c r="G8" s="51"/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/>
      <c r="D11" s="7">
        <f t="shared" si="0"/>
        <v>0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40"/>
      <c r="D12" s="7">
        <f>C12-B12</f>
        <v>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Table2224354657[[#Headers],[INCOME]]</f>
        <v>Total INCOME</v>
      </c>
      <c r="B13" s="12">
        <f>SUBTOTAL(9,Table2224354657[Budget])</f>
        <v>23711</v>
      </c>
      <c r="C13" s="12">
        <f>SUBTOTAL(9,Table2224354657[Actual])</f>
        <v>23711</v>
      </c>
      <c r="D13" s="9">
        <f>SUBTOTAL(9,Table2224354657[Difference])</f>
        <v>0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/>
      <c r="C16" s="6"/>
      <c r="D16" s="35">
        <f>B16-C16</f>
        <v>0</v>
      </c>
      <c r="F16" s="1" t="s">
        <v>25</v>
      </c>
      <c r="G16" s="10"/>
      <c r="H16" s="10"/>
      <c r="I16" s="7">
        <f t="shared" si="1"/>
        <v>0</v>
      </c>
    </row>
    <row r="17" spans="1:9">
      <c r="A17" s="1" t="s">
        <v>26</v>
      </c>
      <c r="B17" s="6"/>
      <c r="C17" s="6"/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A18" s="1" t="s">
        <v>97</v>
      </c>
      <c r="B18" s="6">
        <v>706</v>
      </c>
      <c r="C18" s="6">
        <v>706</v>
      </c>
      <c r="D18" s="7">
        <f t="shared" si="2"/>
        <v>0</v>
      </c>
      <c r="F18" s="1" t="s">
        <v>44</v>
      </c>
      <c r="G18" s="10"/>
      <c r="H18" s="10"/>
      <c r="I18" s="7">
        <f t="shared" si="1"/>
        <v>0</v>
      </c>
    </row>
    <row r="19" spans="1:9">
      <c r="B19" s="6"/>
      <c r="C19" s="6"/>
      <c r="D19" s="7">
        <f t="shared" si="2"/>
        <v>0</v>
      </c>
      <c r="F19" s="1" t="s">
        <v>74</v>
      </c>
      <c r="G19" s="10"/>
      <c r="H19" s="10"/>
      <c r="I19" s="7">
        <f t="shared" si="1"/>
        <v>0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Table6526374859[[#Headers],[DAILY LIVING]]</f>
        <v>Total DAILY LIVING</v>
      </c>
      <c r="G21" s="12">
        <f>SUBTOTAL(9,Table6526374859[Budget])</f>
        <v>0</v>
      </c>
      <c r="H21" s="12">
        <f>SUBTOTAL(9,Table6526374859[Actual])</f>
        <v>0</v>
      </c>
      <c r="I21" s="9">
        <f>SUBTOTAL(9,Table6526374859[Difference])</f>
        <v>0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83</v>
      </c>
      <c r="G24" s="10"/>
      <c r="H24" s="10"/>
      <c r="I24" s="7">
        <f t="shared" ref="I24:I34" si="3">G24-H24</f>
        <v>0</v>
      </c>
    </row>
    <row r="25" spans="1:9">
      <c r="B25" s="6"/>
      <c r="C25" s="6"/>
      <c r="D25" s="7">
        <f>B25-C25</f>
        <v>0</v>
      </c>
      <c r="F25" s="1" t="s">
        <v>84</v>
      </c>
      <c r="G25" s="10"/>
      <c r="H25" s="10"/>
      <c r="I25" s="7">
        <f t="shared" si="3"/>
        <v>0</v>
      </c>
    </row>
    <row r="26" spans="1:9">
      <c r="B26" s="6"/>
      <c r="C26" s="6"/>
      <c r="D26" s="7">
        <f t="shared" si="2"/>
        <v>0</v>
      </c>
      <c r="F26" s="1" t="s">
        <v>85</v>
      </c>
      <c r="G26" s="10"/>
      <c r="H26" s="39"/>
      <c r="I26" s="7">
        <f t="shared" si="3"/>
        <v>0</v>
      </c>
    </row>
    <row r="27" spans="1:9">
      <c r="B27" s="6"/>
      <c r="C27" s="6"/>
      <c r="D27" s="7">
        <f t="shared" si="2"/>
        <v>0</v>
      </c>
      <c r="F27" s="1" t="s">
        <v>86</v>
      </c>
      <c r="G27" s="10"/>
      <c r="H27" s="10"/>
      <c r="I27" s="7">
        <f t="shared" si="3"/>
        <v>0</v>
      </c>
    </row>
    <row r="28" spans="1:9">
      <c r="B28" s="10"/>
      <c r="C28" s="10"/>
      <c r="D28" s="7">
        <f t="shared" si="2"/>
        <v>0</v>
      </c>
      <c r="F28" s="1" t="s">
        <v>87</v>
      </c>
      <c r="G28" s="10"/>
      <c r="H28" s="10"/>
      <c r="I28" s="7">
        <f t="shared" si="3"/>
        <v>0</v>
      </c>
    </row>
    <row r="29" spans="1:9">
      <c r="A29" s="17" t="str">
        <f>"Total " &amp; Table5425364758[[#Headers],[Gastos Vivienda]]</f>
        <v>Total Gastos Vivienda</v>
      </c>
      <c r="B29" s="12">
        <f>SUBTOTAL(9,Table5425364758[Budget])</f>
        <v>706</v>
      </c>
      <c r="C29" s="12">
        <f>SUBTOTAL(9,Table5425364758[Actual])</f>
        <v>706</v>
      </c>
      <c r="D29" s="9">
        <f>SUBTOTAL(9,Table5425364758[Difference])</f>
        <v>0</v>
      </c>
      <c r="F29" s="1" t="s">
        <v>88</v>
      </c>
      <c r="G29" s="10"/>
      <c r="H29" s="10"/>
      <c r="I29" s="7">
        <f t="shared" si="3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3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>
        <v>750</v>
      </c>
      <c r="I31" s="7">
        <f t="shared" si="3"/>
        <v>0</v>
      </c>
    </row>
    <row r="32" spans="1:9">
      <c r="A32" s="1" t="s">
        <v>40</v>
      </c>
      <c r="B32" s="10"/>
      <c r="C32" s="10"/>
      <c r="D32" s="7">
        <f>B32-C32</f>
        <v>0</v>
      </c>
      <c r="F32" s="1" t="s">
        <v>76</v>
      </c>
      <c r="G32" s="10"/>
      <c r="H32" s="10"/>
      <c r="I32" s="7">
        <f t="shared" si="3"/>
        <v>0</v>
      </c>
    </row>
    <row r="33" spans="1:9">
      <c r="A33" s="1" t="s">
        <v>42</v>
      </c>
      <c r="B33" s="10">
        <v>802</v>
      </c>
      <c r="C33" s="10">
        <v>802</v>
      </c>
      <c r="D33" s="7">
        <f t="shared" ref="D33:D38" si="4">B33-C33</f>
        <v>0</v>
      </c>
      <c r="F33" s="1" t="s">
        <v>89</v>
      </c>
      <c r="G33" s="10">
        <v>1321</v>
      </c>
      <c r="H33" s="10">
        <v>1321</v>
      </c>
      <c r="I33" s="7">
        <f t="shared" si="3"/>
        <v>0</v>
      </c>
    </row>
    <row r="34" spans="1:9">
      <c r="A34" s="1" t="s">
        <v>44</v>
      </c>
      <c r="B34" s="10"/>
      <c r="C34" s="10"/>
      <c r="D34" s="7">
        <f>B34-C34</f>
        <v>0</v>
      </c>
      <c r="F34" s="1" t="s">
        <v>90</v>
      </c>
      <c r="G34" s="10"/>
      <c r="H34" s="10"/>
      <c r="I34" s="7">
        <f t="shared" si="3"/>
        <v>0</v>
      </c>
    </row>
    <row r="35" spans="1:9">
      <c r="A35" s="1" t="s">
        <v>91</v>
      </c>
      <c r="B35" s="10"/>
      <c r="C35" s="10"/>
      <c r="D35" s="7">
        <f t="shared" si="4"/>
        <v>0</v>
      </c>
      <c r="F35" s="17" t="str">
        <f>"Total " &amp; Table71027384960[[#Headers],[Diversion ]]</f>
        <v xml:space="preserve">Total Diversion </v>
      </c>
      <c r="G35" s="12">
        <f>SUBTOTAL(9,Table71027384960[Budget])</f>
        <v>2071</v>
      </c>
      <c r="H35" s="12">
        <f>SUBTOTAL(9,Table71027384960[Actual])</f>
        <v>2071</v>
      </c>
      <c r="I35" s="9">
        <f>SUBTOTAL(9,Table71027384960[Difference])</f>
        <v>0</v>
      </c>
    </row>
    <row r="36" spans="1:9">
      <c r="A36" s="1" t="s">
        <v>44</v>
      </c>
      <c r="B36" s="10"/>
      <c r="C36" s="10"/>
      <c r="D36" s="7">
        <f t="shared" si="4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77</v>
      </c>
      <c r="B38" s="10"/>
      <c r="C38" s="10"/>
      <c r="D38" s="7">
        <f t="shared" si="4"/>
        <v>0</v>
      </c>
      <c r="F38" s="1" t="s">
        <v>49</v>
      </c>
      <c r="G38" s="10"/>
      <c r="H38" s="10"/>
      <c r="I38" s="7">
        <f>G38-H38</f>
        <v>0</v>
      </c>
    </row>
    <row r="39" spans="1:9">
      <c r="A39" s="17" t="str">
        <f>"Total " &amp; Table201933445566[[#Headers],[Transporte]]</f>
        <v>Total Transporte</v>
      </c>
      <c r="B39" s="12">
        <f>SUBTOTAL(9,Table201933445566[Budget])</f>
        <v>802</v>
      </c>
      <c r="C39" s="12">
        <f>SUBTOTAL(9,Table201933445566[Actual])</f>
        <v>802</v>
      </c>
      <c r="D39" s="9">
        <f>SUBTOTAL(9,Table201933445566[Difference])</f>
        <v>0</v>
      </c>
      <c r="F39" s="1" t="s">
        <v>50</v>
      </c>
      <c r="G39" s="10">
        <v>2000</v>
      </c>
      <c r="H39" s="10">
        <v>2000</v>
      </c>
      <c r="I39" s="7">
        <f t="shared" ref="I39:I40" si="5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78</v>
      </c>
      <c r="B43" s="10"/>
      <c r="C43" s="10"/>
      <c r="D43" s="7">
        <f t="shared" si="6"/>
        <v>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79</v>
      </c>
      <c r="B45" s="10"/>
      <c r="C45" s="10"/>
      <c r="D45" s="7">
        <f t="shared" si="6"/>
        <v>0</v>
      </c>
      <c r="F45" s="17" t="str">
        <f>"Total " &amp; Table81228395061[[#Headers],[Ahorros]]</f>
        <v>Total Ahorros</v>
      </c>
      <c r="G45" s="12">
        <f>SUBTOTAL(9,Table81228395061[Budget])</f>
        <v>2000</v>
      </c>
      <c r="H45" s="12">
        <f>SUBTOTAL(9,Table81228395061[Actual])</f>
        <v>2000</v>
      </c>
      <c r="I45" s="9">
        <f>SUBTOTAL(9,Table81228395061[Difference])</f>
        <v>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/>
      <c r="H48" s="10"/>
      <c r="I48" s="7">
        <f t="shared" ref="I48:I55" si="7">G48-H48</f>
        <v>0</v>
      </c>
    </row>
    <row r="49" spans="1:9">
      <c r="A49" s="17" t="str">
        <f>"Total " &amp; Table212334455667[[#Headers],[Salud]]</f>
        <v>Total Salud</v>
      </c>
      <c r="B49" s="12">
        <f>SUBTOTAL(9,Table212334455667[Budget])</f>
        <v>0</v>
      </c>
      <c r="C49" s="12">
        <f>SUBTOTAL(9,Table212334455667[Actual])</f>
        <v>0</v>
      </c>
      <c r="D49" s="9">
        <f>SUBTOTAL(9,Table212334455667[Difference])</f>
        <v>0</v>
      </c>
      <c r="F49" s="1" t="s">
        <v>62</v>
      </c>
      <c r="G49" s="10"/>
      <c r="H49" s="10"/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/>
      <c r="C52" s="10"/>
      <c r="D52" s="7">
        <f t="shared" ref="D52:D55" si="8">B52-C52</f>
        <v>0</v>
      </c>
      <c r="F52" s="1" t="s">
        <v>92</v>
      </c>
      <c r="G52" s="10"/>
      <c r="H52" s="10"/>
      <c r="I52" s="7">
        <f t="shared" si="7"/>
        <v>0</v>
      </c>
    </row>
    <row r="53" spans="1:9">
      <c r="A53" s="1" t="s">
        <v>66</v>
      </c>
      <c r="B53" s="10"/>
      <c r="C53" s="10"/>
      <c r="D53" s="7">
        <f t="shared" si="8"/>
        <v>0</v>
      </c>
      <c r="F53" s="1" t="s">
        <v>93</v>
      </c>
      <c r="G53" s="10"/>
      <c r="H53" s="10"/>
      <c r="I53" s="7">
        <f t="shared" si="7"/>
        <v>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Table191832435465[[#Headers],[CHARITY/GIFTS]]</f>
        <v>Total CHARITY/GIFTS</v>
      </c>
      <c r="B56" s="12">
        <f>SUBTOTAL(9,Table191832435465[Budget])</f>
        <v>0</v>
      </c>
      <c r="C56" s="12">
        <f>SUBTOTAL(9,Table191832435465[Actual])</f>
        <v>0</v>
      </c>
      <c r="D56" s="9">
        <f>SUBTOTAL(9,Table191832435465[Difference])</f>
        <v>0</v>
      </c>
      <c r="F56" s="17" t="str">
        <f>"Total " &amp; Table101329405162[[#Headers],[Oblgiaciones ]]</f>
        <v xml:space="preserve">Total Oblgiaciones </v>
      </c>
      <c r="G56" s="12">
        <f>SUBTOTAL(9,Table101329405162[Budget])</f>
        <v>0</v>
      </c>
      <c r="H56" s="12">
        <f>SUBTOTAL(9,Table101329405162[Actual])</f>
        <v>0</v>
      </c>
      <c r="I56" s="9">
        <f>SUBTOTAL(9,Table101329405162[Difference])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94</v>
      </c>
      <c r="G59" s="6"/>
      <c r="H59" s="6"/>
      <c r="I59" s="7">
        <f t="shared" ref="I59:I62" si="10">G59-H59</f>
        <v>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20</v>
      </c>
      <c r="G60" s="6"/>
      <c r="H60" s="6"/>
      <c r="I60" s="7">
        <f t="shared" si="10"/>
        <v>0</v>
      </c>
    </row>
    <row r="61" spans="1:9">
      <c r="A61" s="1" t="s">
        <v>73</v>
      </c>
      <c r="B61" s="10"/>
      <c r="C61" s="10"/>
      <c r="D61" s="7">
        <f t="shared" si="9"/>
        <v>0</v>
      </c>
      <c r="F61" s="1" t="s">
        <v>95</v>
      </c>
      <c r="G61" s="6"/>
      <c r="H61" s="6"/>
      <c r="I61" s="7">
        <f t="shared" si="10"/>
        <v>0</v>
      </c>
    </row>
    <row r="62" spans="1:9">
      <c r="B62" s="10"/>
      <c r="C62" s="10"/>
      <c r="D62" s="7">
        <f t="shared" si="9"/>
        <v>0</v>
      </c>
      <c r="F62" s="1" t="s">
        <v>96</v>
      </c>
      <c r="G62" s="10"/>
      <c r="H62" s="10"/>
      <c r="I62" s="7">
        <f t="shared" si="10"/>
        <v>0</v>
      </c>
    </row>
    <row r="63" spans="1:9">
      <c r="A63" s="17" t="str">
        <f>"Total " &amp; Table151731425364[[#Headers],[Subscrpciones]]</f>
        <v>Total Subscrpciones</v>
      </c>
      <c r="B63" s="12">
        <f>SUBTOTAL(9,Table151731425364[Budget])</f>
        <v>0</v>
      </c>
      <c r="C63" s="12">
        <f>SUBTOTAL(9,Table151731425364[Actual])</f>
        <v>0</v>
      </c>
      <c r="D63" s="9">
        <f>SUBTOTAL(9,Table151731425364[Difference])</f>
        <v>0</v>
      </c>
      <c r="F63" s="17" t="str">
        <f>"Total " &amp; Table141430415263[[#Headers],[Misc]]</f>
        <v>Total Misc</v>
      </c>
      <c r="G63" s="12">
        <f>SUBTOTAL(9,Table141430415263[Budget])</f>
        <v>0</v>
      </c>
      <c r="H63" s="12">
        <f>SUBTOTAL(9,Table141430415263[Actual])</f>
        <v>0</v>
      </c>
      <c r="I63" s="9">
        <f>SUBTOTAL(9,Table141430415263[Difference])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257" priority="3" stopIfTrue="1" operator="lessThan">
      <formula>0</formula>
    </cfRule>
  </conditionalFormatting>
  <conditionalFormatting sqref="I48:I55">
    <cfRule type="cellIs" dxfId="256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/>
  <headerFooter alignWithMargins="0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597070-01B2-4EEE-93A9-EFC6BB5CF442}">
  <sheetPr>
    <pageSetUpPr fitToPage="1"/>
  </sheetPr>
  <dimension ref="A1:I157"/>
  <sheetViews>
    <sheetView showGridLines="0" workbookViewId="0"/>
  </sheetViews>
  <sheetFormatPr defaultColWidth="9" defaultRowHeight="15"/>
  <cols>
    <col min="1" max="1" width="23.125" style="1" customWidth="1"/>
    <col min="2" max="4" width="9.625" style="1" customWidth="1"/>
    <col min="5" max="5" width="2.625" style="1" customWidth="1"/>
    <col min="6" max="6" width="23.125" style="1" customWidth="1"/>
    <col min="7" max="9" width="9.625" style="1" customWidth="1"/>
    <col min="10" max="16384" width="9" style="1"/>
  </cols>
  <sheetData>
    <row r="1" spans="1:9" s="24" customFormat="1" ht="26.1" customHeight="1">
      <c r="A1" s="102" t="s">
        <v>0</v>
      </c>
      <c r="B1" s="102"/>
      <c r="C1" s="102"/>
      <c r="D1" s="102"/>
    </row>
    <row r="2" spans="1:9" s="24" customFormat="1" ht="14.25" customHeight="1">
      <c r="A2" s="102"/>
      <c r="B2" s="102"/>
      <c r="C2" s="102"/>
      <c r="D2" s="102"/>
    </row>
    <row r="3" spans="1:9" s="2" customFormat="1" ht="13.5">
      <c r="A3" s="102"/>
      <c r="B3" s="102"/>
      <c r="C3" s="102"/>
      <c r="D3" s="102"/>
      <c r="E3" s="3"/>
    </row>
    <row r="4" spans="1:9">
      <c r="A4" s="14" t="s">
        <v>1</v>
      </c>
      <c r="B4" s="15" t="s">
        <v>2</v>
      </c>
      <c r="C4" s="16" t="s">
        <v>3</v>
      </c>
      <c r="D4" s="16" t="s">
        <v>4</v>
      </c>
      <c r="E4" s="25" t="s">
        <v>5</v>
      </c>
      <c r="F4" s="19" t="s">
        <v>6</v>
      </c>
      <c r="G4" s="20" t="s">
        <v>2</v>
      </c>
      <c r="H4" s="20" t="s">
        <v>3</v>
      </c>
      <c r="I4" s="20" t="s">
        <v>4</v>
      </c>
    </row>
    <row r="5" spans="1:9" ht="16.5">
      <c r="A5" s="1" t="s">
        <v>7</v>
      </c>
      <c r="B5" s="6">
        <v>22211</v>
      </c>
      <c r="C5" s="6">
        <v>22211</v>
      </c>
      <c r="D5" s="7">
        <f t="shared" ref="D5:D11" si="0">C5-B5</f>
        <v>0</v>
      </c>
      <c r="F5" s="21" t="s">
        <v>8</v>
      </c>
      <c r="G5" s="18">
        <f>Table222435465768[[#Totals],[Budget]]</f>
        <v>23711</v>
      </c>
      <c r="H5" s="18">
        <f>Table222435465768[[#Totals],[Actual]]</f>
        <v>23711</v>
      </c>
      <c r="I5" s="18">
        <f>G5-H5</f>
        <v>0</v>
      </c>
    </row>
    <row r="6" spans="1:9" ht="16.5">
      <c r="A6" s="1" t="s">
        <v>81</v>
      </c>
      <c r="B6" s="6">
        <v>1500</v>
      </c>
      <c r="C6" s="6">
        <v>1500</v>
      </c>
      <c r="D6" s="7">
        <f t="shared" si="0"/>
        <v>0</v>
      </c>
      <c r="F6" s="21" t="s">
        <v>10</v>
      </c>
      <c r="G6" s="18">
        <f>SUM(,Table542536475869[[#Totals],[Budget]],Table20193344556677[[#Totals],[Budget]],Table21233445566778[[#Totals],[Budget]],Table19183243546576[[#Totals],[Budget]],Table15173142536475[[#Totals],[Budget]],Table14143041526374[[#Totals],[Budget]],Table10132940516273[[#Totals],[Budget]],Table8122839506172[[#Totals],[Budget]],Table7102738496071[[#Totals],[Budget]],Table652637485970[[#Totals],[Budget]])</f>
        <v>5579</v>
      </c>
      <c r="H6" s="18">
        <f>SUM(Table542536475869[[#Totals],[Actual]],Table20193344556677[[#Totals],[Actual]],Table21233445566778[[#Totals],[Actual]],Table19183243546576[[#Totals],[Actual]],Table15173142536475[[#Totals],[Actual]],Table14143041526374[[#Totals],[Actual]],Table10132940516273[[#Totals],[Actual]],Table8122839506172[[#Totals],[Actual]],Table7102738496071[[#Totals],[Actual]],Table652637485970[[#Totals],[Actual]])</f>
        <v>5579</v>
      </c>
      <c r="I6" s="18">
        <f>G6-H6</f>
        <v>0</v>
      </c>
    </row>
    <row r="7" spans="1:9" ht="16.5">
      <c r="A7" s="1" t="s">
        <v>82</v>
      </c>
      <c r="B7" s="6"/>
      <c r="C7" s="6"/>
      <c r="D7" s="7">
        <f t="shared" si="0"/>
        <v>0</v>
      </c>
      <c r="F7" s="22" t="s">
        <v>12</v>
      </c>
      <c r="G7" s="23">
        <f>G5-G6</f>
        <v>18132</v>
      </c>
      <c r="H7" s="23">
        <f>H5-H6</f>
        <v>18132</v>
      </c>
      <c r="I7" s="23">
        <f>H7-G7</f>
        <v>0</v>
      </c>
    </row>
    <row r="8" spans="1:9" s="2" customFormat="1">
      <c r="A8" s="1" t="s">
        <v>13</v>
      </c>
      <c r="B8" s="6"/>
      <c r="C8" s="6"/>
      <c r="D8" s="7">
        <f t="shared" si="0"/>
        <v>0</v>
      </c>
      <c r="G8" s="51"/>
    </row>
    <row r="9" spans="1:9">
      <c r="A9" s="1" t="s">
        <v>14</v>
      </c>
      <c r="B9" s="6"/>
      <c r="C9" s="6"/>
      <c r="D9" s="7">
        <f t="shared" si="0"/>
        <v>0</v>
      </c>
      <c r="F9" s="2"/>
      <c r="G9" s="2"/>
      <c r="H9" s="2"/>
      <c r="I9" s="2"/>
    </row>
    <row r="10" spans="1:9">
      <c r="A10" s="1" t="s">
        <v>15</v>
      </c>
      <c r="B10" s="6"/>
      <c r="C10" s="6"/>
      <c r="D10" s="7">
        <f t="shared" si="0"/>
        <v>0</v>
      </c>
      <c r="F10" s="14" t="s">
        <v>16</v>
      </c>
      <c r="G10" s="15" t="s">
        <v>2</v>
      </c>
      <c r="H10" s="16" t="s">
        <v>3</v>
      </c>
      <c r="I10" s="16" t="s">
        <v>4</v>
      </c>
    </row>
    <row r="11" spans="1:9">
      <c r="A11" s="1" t="s">
        <v>17</v>
      </c>
      <c r="B11" s="6"/>
      <c r="C11" s="6"/>
      <c r="D11" s="7">
        <f t="shared" si="0"/>
        <v>0</v>
      </c>
      <c r="F11" s="1" t="s">
        <v>18</v>
      </c>
      <c r="G11" s="10"/>
      <c r="H11" s="10"/>
      <c r="I11" s="7">
        <f t="shared" ref="I11:I20" si="1">G11-H11</f>
        <v>0</v>
      </c>
    </row>
    <row r="12" spans="1:9">
      <c r="A12" s="1" t="s">
        <v>17</v>
      </c>
      <c r="B12" s="8"/>
      <c r="C12" s="40"/>
      <c r="D12" s="7">
        <f>C12-B12</f>
        <v>0</v>
      </c>
      <c r="F12" s="1" t="s">
        <v>19</v>
      </c>
      <c r="G12" s="10"/>
      <c r="H12" s="10"/>
      <c r="I12" s="7">
        <f t="shared" si="1"/>
        <v>0</v>
      </c>
    </row>
    <row r="13" spans="1:9">
      <c r="A13" s="17" t="str">
        <f>"Total " &amp; Table222435465768[[#Headers],[INCOME]]</f>
        <v>Total INCOME</v>
      </c>
      <c r="B13" s="12">
        <f>SUBTOTAL(9,Table222435465768[Budget])</f>
        <v>23711</v>
      </c>
      <c r="C13" s="12">
        <f>SUBTOTAL(9,Table222435465768[Actual])</f>
        <v>23711</v>
      </c>
      <c r="D13" s="9">
        <f>SUBTOTAL(9,Table222435465768[Difference])</f>
        <v>0</v>
      </c>
      <c r="F13" s="1" t="s">
        <v>20</v>
      </c>
      <c r="G13" s="10"/>
      <c r="H13" s="10"/>
      <c r="I13" s="7">
        <f t="shared" si="1"/>
        <v>0</v>
      </c>
    </row>
    <row r="14" spans="1:9">
      <c r="F14" s="1" t="s">
        <v>21</v>
      </c>
      <c r="G14" s="10"/>
      <c r="H14" s="10"/>
      <c r="I14" s="7">
        <f t="shared" si="1"/>
        <v>0</v>
      </c>
    </row>
    <row r="15" spans="1:9">
      <c r="A15" s="14" t="s">
        <v>22</v>
      </c>
      <c r="B15" s="15" t="s">
        <v>2</v>
      </c>
      <c r="C15" s="16" t="s">
        <v>3</v>
      </c>
      <c r="D15" s="16" t="s">
        <v>4</v>
      </c>
      <c r="F15" s="1" t="s">
        <v>23</v>
      </c>
      <c r="G15" s="10"/>
      <c r="H15" s="10"/>
      <c r="I15" s="7">
        <f t="shared" si="1"/>
        <v>0</v>
      </c>
    </row>
    <row r="16" spans="1:9">
      <c r="A16" s="1" t="s">
        <v>24</v>
      </c>
      <c r="B16" s="6"/>
      <c r="C16" s="6"/>
      <c r="D16" s="35">
        <f>B16-C16</f>
        <v>0</v>
      </c>
      <c r="F16" s="1" t="s">
        <v>25</v>
      </c>
      <c r="G16" s="10"/>
      <c r="H16" s="10"/>
      <c r="I16" s="7">
        <f t="shared" si="1"/>
        <v>0</v>
      </c>
    </row>
    <row r="17" spans="1:9">
      <c r="A17" s="1" t="s">
        <v>26</v>
      </c>
      <c r="B17" s="6"/>
      <c r="C17" s="6"/>
      <c r="D17" s="7">
        <f t="shared" ref="D17:D28" si="2">B17-C17</f>
        <v>0</v>
      </c>
      <c r="F17" s="1" t="s">
        <v>27</v>
      </c>
      <c r="G17" s="10"/>
      <c r="H17" s="10"/>
      <c r="I17" s="7">
        <f t="shared" si="1"/>
        <v>0</v>
      </c>
    </row>
    <row r="18" spans="1:9">
      <c r="A18" s="1" t="s">
        <v>97</v>
      </c>
      <c r="B18" s="6">
        <v>706</v>
      </c>
      <c r="C18" s="6">
        <v>706</v>
      </c>
      <c r="D18" s="7">
        <f t="shared" si="2"/>
        <v>0</v>
      </c>
      <c r="F18" s="1" t="s">
        <v>44</v>
      </c>
      <c r="G18" s="10"/>
      <c r="H18" s="10"/>
      <c r="I18" s="7">
        <f t="shared" si="1"/>
        <v>0</v>
      </c>
    </row>
    <row r="19" spans="1:9">
      <c r="B19" s="6"/>
      <c r="C19" s="6"/>
      <c r="D19" s="7">
        <f t="shared" si="2"/>
        <v>0</v>
      </c>
      <c r="F19" s="1" t="s">
        <v>74</v>
      </c>
      <c r="G19" s="10"/>
      <c r="H19" s="10"/>
      <c r="I19" s="7">
        <f t="shared" si="1"/>
        <v>0</v>
      </c>
    </row>
    <row r="20" spans="1:9" s="4" customFormat="1">
      <c r="A20" s="1"/>
      <c r="B20" s="6"/>
      <c r="C20" s="6"/>
      <c r="D20" s="7">
        <f t="shared" si="2"/>
        <v>0</v>
      </c>
      <c r="E20" s="1"/>
      <c r="F20" s="1"/>
      <c r="G20" s="10"/>
      <c r="H20" s="10"/>
      <c r="I20" s="7">
        <f t="shared" si="1"/>
        <v>0</v>
      </c>
    </row>
    <row r="21" spans="1:9">
      <c r="B21" s="6"/>
      <c r="C21" s="6"/>
      <c r="D21" s="7">
        <f t="shared" si="2"/>
        <v>0</v>
      </c>
      <c r="F21" s="17" t="str">
        <f>"Total " &amp; Table652637485970[[#Headers],[DAILY LIVING]]</f>
        <v>Total DAILY LIVING</v>
      </c>
      <c r="G21" s="12">
        <f>SUBTOTAL(9,Table652637485970[Budget])</f>
        <v>0</v>
      </c>
      <c r="H21" s="12">
        <f>SUBTOTAL(9,Table652637485970[Actual])</f>
        <v>0</v>
      </c>
      <c r="I21" s="9">
        <f>SUBTOTAL(9,Table652637485970[Difference])</f>
        <v>0</v>
      </c>
    </row>
    <row r="22" spans="1:9">
      <c r="B22" s="6"/>
      <c r="C22" s="6"/>
      <c r="D22" s="7">
        <f t="shared" si="2"/>
        <v>0</v>
      </c>
      <c r="G22" s="11"/>
      <c r="H22" s="11"/>
      <c r="I22" s="11"/>
    </row>
    <row r="23" spans="1:9">
      <c r="B23" s="6"/>
      <c r="C23" s="6"/>
      <c r="D23" s="7">
        <f t="shared" si="2"/>
        <v>0</v>
      </c>
      <c r="F23" s="14" t="s">
        <v>30</v>
      </c>
      <c r="G23" s="15" t="s">
        <v>2</v>
      </c>
      <c r="H23" s="16" t="s">
        <v>3</v>
      </c>
      <c r="I23" s="16" t="s">
        <v>4</v>
      </c>
    </row>
    <row r="24" spans="1:9">
      <c r="B24" s="6"/>
      <c r="C24" s="6"/>
      <c r="D24" s="7">
        <f t="shared" si="2"/>
        <v>0</v>
      </c>
      <c r="F24" s="1" t="s">
        <v>83</v>
      </c>
      <c r="G24" s="10"/>
      <c r="H24" s="10"/>
      <c r="I24" s="7">
        <f t="shared" ref="I24:I34" si="3">G24-H24</f>
        <v>0</v>
      </c>
    </row>
    <row r="25" spans="1:9">
      <c r="B25" s="6"/>
      <c r="C25" s="6"/>
      <c r="D25" s="7">
        <f>B25-C25</f>
        <v>0</v>
      </c>
      <c r="F25" s="1" t="s">
        <v>84</v>
      </c>
      <c r="G25" s="10"/>
      <c r="H25" s="10"/>
      <c r="I25" s="7">
        <f t="shared" si="3"/>
        <v>0</v>
      </c>
    </row>
    <row r="26" spans="1:9">
      <c r="B26" s="6"/>
      <c r="C26" s="6"/>
      <c r="D26" s="7">
        <f t="shared" si="2"/>
        <v>0</v>
      </c>
      <c r="F26" s="1" t="s">
        <v>85</v>
      </c>
      <c r="G26" s="10"/>
      <c r="H26" s="39"/>
      <c r="I26" s="7">
        <f t="shared" si="3"/>
        <v>0</v>
      </c>
    </row>
    <row r="27" spans="1:9">
      <c r="B27" s="6"/>
      <c r="C27" s="6"/>
      <c r="D27" s="7">
        <f t="shared" si="2"/>
        <v>0</v>
      </c>
      <c r="F27" s="1" t="s">
        <v>86</v>
      </c>
      <c r="G27" s="10"/>
      <c r="H27" s="10"/>
      <c r="I27" s="7">
        <f t="shared" si="3"/>
        <v>0</v>
      </c>
    </row>
    <row r="28" spans="1:9">
      <c r="B28" s="10"/>
      <c r="C28" s="10"/>
      <c r="D28" s="7">
        <f t="shared" si="2"/>
        <v>0</v>
      </c>
      <c r="F28" s="1" t="s">
        <v>87</v>
      </c>
      <c r="G28" s="10"/>
      <c r="H28" s="10"/>
      <c r="I28" s="7">
        <f t="shared" si="3"/>
        <v>0</v>
      </c>
    </row>
    <row r="29" spans="1:9">
      <c r="A29" s="17" t="str">
        <f>"Total " &amp; Table542536475869[[#Headers],[Gastos Vivienda]]</f>
        <v>Total Gastos Vivienda</v>
      </c>
      <c r="B29" s="12">
        <f>SUBTOTAL(9,Table542536475869[Budget])</f>
        <v>706</v>
      </c>
      <c r="C29" s="12">
        <f>SUBTOTAL(9,Table542536475869[Actual])</f>
        <v>706</v>
      </c>
      <c r="D29" s="9">
        <f>SUBTOTAL(9,Table542536475869[Difference])</f>
        <v>0</v>
      </c>
      <c r="F29" s="1" t="s">
        <v>88</v>
      </c>
      <c r="G29" s="10"/>
      <c r="H29" s="10"/>
      <c r="I29" s="7">
        <f t="shared" si="3"/>
        <v>0</v>
      </c>
    </row>
    <row r="30" spans="1:9">
      <c r="B30" s="11"/>
      <c r="C30" s="11"/>
      <c r="D30" s="11"/>
      <c r="F30" s="1" t="s">
        <v>37</v>
      </c>
      <c r="G30" s="10"/>
      <c r="H30" s="10"/>
      <c r="I30" s="7">
        <f t="shared" si="3"/>
        <v>0</v>
      </c>
    </row>
    <row r="31" spans="1:9">
      <c r="A31" s="14" t="s">
        <v>38</v>
      </c>
      <c r="B31" s="15" t="s">
        <v>2</v>
      </c>
      <c r="C31" s="16" t="s">
        <v>3</v>
      </c>
      <c r="D31" s="16" t="s">
        <v>4</v>
      </c>
      <c r="F31" s="1" t="s">
        <v>75</v>
      </c>
      <c r="G31" s="10">
        <v>750</v>
      </c>
      <c r="H31" s="10">
        <v>750</v>
      </c>
      <c r="I31" s="7">
        <f t="shared" si="3"/>
        <v>0</v>
      </c>
    </row>
    <row r="32" spans="1:9">
      <c r="A32" s="1" t="s">
        <v>40</v>
      </c>
      <c r="B32" s="10"/>
      <c r="C32" s="10"/>
      <c r="D32" s="7">
        <f>B32-C32</f>
        <v>0</v>
      </c>
      <c r="F32" s="1" t="s">
        <v>76</v>
      </c>
      <c r="G32" s="10"/>
      <c r="H32" s="10"/>
      <c r="I32" s="7">
        <f t="shared" si="3"/>
        <v>0</v>
      </c>
    </row>
    <row r="33" spans="1:9">
      <c r="A33" s="1" t="s">
        <v>42</v>
      </c>
      <c r="B33" s="10">
        <v>802</v>
      </c>
      <c r="C33" s="10">
        <v>802</v>
      </c>
      <c r="D33" s="7">
        <f t="shared" ref="D33:D38" si="4">B33-C33</f>
        <v>0</v>
      </c>
      <c r="F33" s="1" t="s">
        <v>89</v>
      </c>
      <c r="G33" s="10">
        <v>1321</v>
      </c>
      <c r="H33" s="10">
        <v>1321</v>
      </c>
      <c r="I33" s="7">
        <f t="shared" si="3"/>
        <v>0</v>
      </c>
    </row>
    <row r="34" spans="1:9">
      <c r="A34" s="1" t="s">
        <v>44</v>
      </c>
      <c r="B34" s="10"/>
      <c r="C34" s="10"/>
      <c r="D34" s="7">
        <f>B34-C34</f>
        <v>0</v>
      </c>
      <c r="F34" s="1" t="s">
        <v>90</v>
      </c>
      <c r="G34" s="10"/>
      <c r="H34" s="10"/>
      <c r="I34" s="7">
        <f t="shared" si="3"/>
        <v>0</v>
      </c>
    </row>
    <row r="35" spans="1:9">
      <c r="A35" s="1" t="s">
        <v>91</v>
      </c>
      <c r="B35" s="10"/>
      <c r="C35" s="10"/>
      <c r="D35" s="7">
        <f t="shared" si="4"/>
        <v>0</v>
      </c>
      <c r="F35" s="17" t="str">
        <f>"Total " &amp; Table7102738496071[[#Headers],[Diversion ]]</f>
        <v xml:space="preserve">Total Diversion </v>
      </c>
      <c r="G35" s="12">
        <f>SUBTOTAL(9,Table7102738496071[Budget])</f>
        <v>2071</v>
      </c>
      <c r="H35" s="12">
        <f>SUBTOTAL(9,Table7102738496071[Actual])</f>
        <v>2071</v>
      </c>
      <c r="I35" s="9">
        <f>SUBTOTAL(9,Table7102738496071[Difference])</f>
        <v>0</v>
      </c>
    </row>
    <row r="36" spans="1:9">
      <c r="A36" s="1" t="s">
        <v>44</v>
      </c>
      <c r="B36" s="10"/>
      <c r="C36" s="10"/>
      <c r="D36" s="7">
        <f t="shared" si="4"/>
        <v>0</v>
      </c>
      <c r="G36" s="11"/>
      <c r="H36" s="11"/>
      <c r="I36" s="11"/>
    </row>
    <row r="37" spans="1:9">
      <c r="A37" s="1" t="s">
        <v>47</v>
      </c>
      <c r="B37" s="10"/>
      <c r="C37" s="10"/>
      <c r="D37" s="7">
        <f t="shared" si="4"/>
        <v>0</v>
      </c>
      <c r="F37" s="14" t="s">
        <v>48</v>
      </c>
      <c r="G37" s="15" t="s">
        <v>2</v>
      </c>
      <c r="H37" s="16" t="s">
        <v>3</v>
      </c>
      <c r="I37" s="16" t="s">
        <v>4</v>
      </c>
    </row>
    <row r="38" spans="1:9">
      <c r="A38" s="1" t="s">
        <v>77</v>
      </c>
      <c r="B38" s="10"/>
      <c r="C38" s="10"/>
      <c r="D38" s="7">
        <f t="shared" si="4"/>
        <v>0</v>
      </c>
      <c r="F38" s="1" t="s">
        <v>49</v>
      </c>
      <c r="G38" s="10"/>
      <c r="H38" s="10"/>
      <c r="I38" s="7">
        <f>G38-H38</f>
        <v>0</v>
      </c>
    </row>
    <row r="39" spans="1:9">
      <c r="A39" s="17" t="str">
        <f>"Total " &amp; Table20193344556677[[#Headers],[Transporte]]</f>
        <v>Total Transporte</v>
      </c>
      <c r="B39" s="12">
        <f>SUBTOTAL(9,Table20193344556677[Budget])</f>
        <v>802</v>
      </c>
      <c r="C39" s="12">
        <f>SUBTOTAL(9,Table20193344556677[Actual])</f>
        <v>802</v>
      </c>
      <c r="D39" s="9">
        <f>SUBTOTAL(9,Table20193344556677[Difference])</f>
        <v>0</v>
      </c>
      <c r="F39" s="1" t="s">
        <v>50</v>
      </c>
      <c r="G39" s="10">
        <v>2000</v>
      </c>
      <c r="H39" s="10">
        <v>2000</v>
      </c>
      <c r="I39" s="7">
        <f t="shared" ref="I39:I40" si="5">G39-H39</f>
        <v>0</v>
      </c>
    </row>
    <row r="40" spans="1:9">
      <c r="B40" s="11"/>
      <c r="C40" s="11"/>
      <c r="D40" s="11"/>
      <c r="F40" s="1" t="s">
        <v>51</v>
      </c>
      <c r="G40" s="10"/>
      <c r="H40" s="10"/>
      <c r="I40" s="7">
        <f t="shared" si="5"/>
        <v>0</v>
      </c>
    </row>
    <row r="41" spans="1:9">
      <c r="A41" s="14" t="s">
        <v>52</v>
      </c>
      <c r="B41" s="15" t="s">
        <v>2</v>
      </c>
      <c r="C41" s="16" t="s">
        <v>3</v>
      </c>
      <c r="D41" s="16" t="s">
        <v>4</v>
      </c>
      <c r="F41" s="1" t="s">
        <v>53</v>
      </c>
      <c r="G41" s="10"/>
      <c r="H41" s="10"/>
      <c r="I41" s="7">
        <f>G41-H41</f>
        <v>0</v>
      </c>
    </row>
    <row r="42" spans="1:9">
      <c r="A42" s="1" t="s">
        <v>54</v>
      </c>
      <c r="B42" s="10"/>
      <c r="C42" s="10"/>
      <c r="D42" s="7">
        <f t="shared" ref="D42:D48" si="6">B42-C42</f>
        <v>0</v>
      </c>
      <c r="F42" s="1" t="s">
        <v>17</v>
      </c>
      <c r="G42" s="10"/>
      <c r="H42" s="10"/>
      <c r="I42" s="7">
        <f>G42-H42</f>
        <v>0</v>
      </c>
    </row>
    <row r="43" spans="1:9">
      <c r="A43" s="1" t="s">
        <v>78</v>
      </c>
      <c r="B43" s="10"/>
      <c r="C43" s="10"/>
      <c r="D43" s="7">
        <f t="shared" si="6"/>
        <v>0</v>
      </c>
      <c r="F43" s="1" t="s">
        <v>17</v>
      </c>
      <c r="G43" s="10"/>
      <c r="H43" s="10"/>
      <c r="I43" s="7">
        <f>G43-H43</f>
        <v>0</v>
      </c>
    </row>
    <row r="44" spans="1:9">
      <c r="A44" s="1" t="s">
        <v>56</v>
      </c>
      <c r="B44" s="10"/>
      <c r="C44" s="10"/>
      <c r="D44" s="7">
        <f t="shared" si="6"/>
        <v>0</v>
      </c>
      <c r="F44" s="1" t="s">
        <v>17</v>
      </c>
      <c r="G44" s="10"/>
      <c r="H44" s="10"/>
      <c r="I44" s="7">
        <f>G44-H44</f>
        <v>0</v>
      </c>
    </row>
    <row r="45" spans="1:9">
      <c r="A45" s="1" t="s">
        <v>79</v>
      </c>
      <c r="B45" s="10"/>
      <c r="C45" s="10"/>
      <c r="D45" s="7">
        <f t="shared" si="6"/>
        <v>0</v>
      </c>
      <c r="F45" s="17" t="str">
        <f>"Total " &amp; Table8122839506172[[#Headers],[Ahorros]]</f>
        <v>Total Ahorros</v>
      </c>
      <c r="G45" s="12">
        <f>SUBTOTAL(9,Table8122839506172[Budget])</f>
        <v>2000</v>
      </c>
      <c r="H45" s="12">
        <f>SUBTOTAL(9,Table8122839506172[Actual])</f>
        <v>2000</v>
      </c>
      <c r="I45" s="9">
        <f>SUBTOTAL(9,Table8122839506172[Difference])</f>
        <v>0</v>
      </c>
    </row>
    <row r="46" spans="1:9">
      <c r="A46" s="1" t="s">
        <v>58</v>
      </c>
      <c r="B46" s="10"/>
      <c r="C46" s="10"/>
      <c r="D46" s="7">
        <f t="shared" si="6"/>
        <v>0</v>
      </c>
      <c r="G46" s="11"/>
      <c r="H46" s="11"/>
      <c r="I46" s="11"/>
    </row>
    <row r="47" spans="1:9">
      <c r="A47" s="1" t="s">
        <v>59</v>
      </c>
      <c r="B47" s="10"/>
      <c r="C47" s="10"/>
      <c r="D47" s="7">
        <f t="shared" si="6"/>
        <v>0</v>
      </c>
      <c r="F47" s="14" t="s">
        <v>60</v>
      </c>
      <c r="G47" s="15" t="s">
        <v>2</v>
      </c>
      <c r="H47" s="16" t="s">
        <v>3</v>
      </c>
      <c r="I47" s="16" t="s">
        <v>4</v>
      </c>
    </row>
    <row r="48" spans="1:9">
      <c r="A48" s="1" t="s">
        <v>17</v>
      </c>
      <c r="B48" s="10"/>
      <c r="C48" s="10"/>
      <c r="D48" s="7">
        <f t="shared" si="6"/>
        <v>0</v>
      </c>
      <c r="F48" s="1" t="s">
        <v>61</v>
      </c>
      <c r="G48" s="10"/>
      <c r="H48" s="10"/>
      <c r="I48" s="7">
        <f t="shared" ref="I48:I55" si="7">G48-H48</f>
        <v>0</v>
      </c>
    </row>
    <row r="49" spans="1:9">
      <c r="A49" s="17" t="str">
        <f>"Total " &amp; Table21233445566778[[#Headers],[Salud]]</f>
        <v>Total Salud</v>
      </c>
      <c r="B49" s="12">
        <f>SUBTOTAL(9,Table21233445566778[Budget])</f>
        <v>0</v>
      </c>
      <c r="C49" s="12">
        <f>SUBTOTAL(9,Table21233445566778[Actual])</f>
        <v>0</v>
      </c>
      <c r="D49" s="9">
        <f>SUBTOTAL(9,Table21233445566778[Difference])</f>
        <v>0</v>
      </c>
      <c r="F49" s="1" t="s">
        <v>62</v>
      </c>
      <c r="G49" s="10"/>
      <c r="H49" s="10"/>
      <c r="I49" s="7">
        <f t="shared" si="7"/>
        <v>0</v>
      </c>
    </row>
    <row r="50" spans="1:9">
      <c r="B50" s="11"/>
      <c r="C50" s="11"/>
      <c r="D50" s="11"/>
      <c r="F50" s="1" t="s">
        <v>63</v>
      </c>
      <c r="G50" s="10"/>
      <c r="H50" s="10"/>
      <c r="I50" s="7">
        <f t="shared" si="7"/>
        <v>0</v>
      </c>
    </row>
    <row r="51" spans="1:9">
      <c r="A51" s="14" t="s">
        <v>64</v>
      </c>
      <c r="B51" s="15" t="s">
        <v>2</v>
      </c>
      <c r="C51" s="16" t="s">
        <v>3</v>
      </c>
      <c r="D51" s="16" t="s">
        <v>4</v>
      </c>
      <c r="F51" s="1" t="s">
        <v>17</v>
      </c>
      <c r="G51" s="10"/>
      <c r="H51" s="10"/>
      <c r="I51" s="7">
        <f t="shared" si="7"/>
        <v>0</v>
      </c>
    </row>
    <row r="52" spans="1:9">
      <c r="A52" s="1" t="s">
        <v>65</v>
      </c>
      <c r="B52" s="10"/>
      <c r="C52" s="10"/>
      <c r="D52" s="7">
        <f t="shared" ref="D52:D55" si="8">B52-C52</f>
        <v>0</v>
      </c>
      <c r="F52" s="1" t="s">
        <v>92</v>
      </c>
      <c r="G52" s="10"/>
      <c r="H52" s="10"/>
      <c r="I52" s="7">
        <f t="shared" si="7"/>
        <v>0</v>
      </c>
    </row>
    <row r="53" spans="1:9">
      <c r="A53" s="1" t="s">
        <v>66</v>
      </c>
      <c r="B53" s="10"/>
      <c r="C53" s="10"/>
      <c r="D53" s="7">
        <f t="shared" si="8"/>
        <v>0</v>
      </c>
      <c r="F53" s="1" t="s">
        <v>93</v>
      </c>
      <c r="G53" s="10"/>
      <c r="H53" s="10"/>
      <c r="I53" s="7">
        <f t="shared" si="7"/>
        <v>0</v>
      </c>
    </row>
    <row r="54" spans="1:9">
      <c r="A54" s="1" t="s">
        <v>67</v>
      </c>
      <c r="B54" s="10"/>
      <c r="C54" s="10"/>
      <c r="D54" s="7">
        <f t="shared" si="8"/>
        <v>0</v>
      </c>
      <c r="G54" s="10"/>
      <c r="H54" s="10"/>
      <c r="I54" s="7">
        <f t="shared" si="7"/>
        <v>0</v>
      </c>
    </row>
    <row r="55" spans="1:9">
      <c r="A55" s="1" t="s">
        <v>17</v>
      </c>
      <c r="B55" s="10"/>
      <c r="C55" s="10"/>
      <c r="D55" s="7">
        <f t="shared" si="8"/>
        <v>0</v>
      </c>
      <c r="G55" s="10"/>
      <c r="H55" s="10"/>
      <c r="I55" s="7">
        <f t="shared" si="7"/>
        <v>0</v>
      </c>
    </row>
    <row r="56" spans="1:9">
      <c r="A56" s="17" t="str">
        <f>"Total " &amp; Table19183243546576[[#Headers],[CHARITY/GIFTS]]</f>
        <v>Total CHARITY/GIFTS</v>
      </c>
      <c r="B56" s="12">
        <f>SUBTOTAL(9,Table19183243546576[Budget])</f>
        <v>0</v>
      </c>
      <c r="C56" s="12">
        <f>SUBTOTAL(9,Table19183243546576[Actual])</f>
        <v>0</v>
      </c>
      <c r="D56" s="9">
        <f>SUBTOTAL(9,Table19183243546576[Difference])</f>
        <v>0</v>
      </c>
      <c r="F56" s="17" t="str">
        <f>"Total " &amp; Table10132940516273[[#Headers],[Oblgiaciones ]]</f>
        <v xml:space="preserve">Total Oblgiaciones </v>
      </c>
      <c r="G56" s="12">
        <f>SUBTOTAL(9,Table10132940516273[Budget])</f>
        <v>0</v>
      </c>
      <c r="H56" s="12">
        <f>SUBTOTAL(9,Table10132940516273[Actual])</f>
        <v>0</v>
      </c>
      <c r="I56" s="9">
        <f>SUBTOTAL(9,Table10132940516273[Difference])</f>
        <v>0</v>
      </c>
    </row>
    <row r="57" spans="1:9">
      <c r="B57" s="11"/>
      <c r="C57" s="11"/>
      <c r="D57" s="11"/>
      <c r="G57" s="11"/>
      <c r="H57" s="11"/>
      <c r="I57" s="11"/>
    </row>
    <row r="58" spans="1:9">
      <c r="A58" s="14" t="s">
        <v>68</v>
      </c>
      <c r="B58" s="15" t="s">
        <v>2</v>
      </c>
      <c r="C58" s="16" t="s">
        <v>3</v>
      </c>
      <c r="D58" s="16" t="s">
        <v>4</v>
      </c>
      <c r="F58" s="14" t="s">
        <v>69</v>
      </c>
      <c r="G58" s="15" t="s">
        <v>2</v>
      </c>
      <c r="H58" s="16" t="s">
        <v>3</v>
      </c>
      <c r="I58" s="16" t="s">
        <v>4</v>
      </c>
    </row>
    <row r="59" spans="1:9">
      <c r="A59" s="1" t="s">
        <v>70</v>
      </c>
      <c r="B59" s="10"/>
      <c r="C59" s="10"/>
      <c r="D59" s="7">
        <f t="shared" ref="D59:D62" si="9">B59-C59</f>
        <v>0</v>
      </c>
      <c r="F59" s="1" t="s">
        <v>94</v>
      </c>
      <c r="G59" s="6"/>
      <c r="H59" s="6"/>
      <c r="I59" s="7">
        <f t="shared" ref="I59:I62" si="10">G59-H59</f>
        <v>0</v>
      </c>
    </row>
    <row r="60" spans="1:9">
      <c r="A60" s="1" t="s">
        <v>72</v>
      </c>
      <c r="B60" s="10"/>
      <c r="C60" s="10"/>
      <c r="D60" s="7">
        <f t="shared" si="9"/>
        <v>0</v>
      </c>
      <c r="F60" s="1" t="s">
        <v>20</v>
      </c>
      <c r="G60" s="6"/>
      <c r="H60" s="6"/>
      <c r="I60" s="7">
        <f t="shared" si="10"/>
        <v>0</v>
      </c>
    </row>
    <row r="61" spans="1:9">
      <c r="A61" s="1" t="s">
        <v>73</v>
      </c>
      <c r="B61" s="10"/>
      <c r="C61" s="10"/>
      <c r="D61" s="7">
        <f t="shared" si="9"/>
        <v>0</v>
      </c>
      <c r="F61" s="1" t="s">
        <v>95</v>
      </c>
      <c r="G61" s="6"/>
      <c r="H61" s="6"/>
      <c r="I61" s="7">
        <f t="shared" si="10"/>
        <v>0</v>
      </c>
    </row>
    <row r="62" spans="1:9">
      <c r="B62" s="10"/>
      <c r="C62" s="10"/>
      <c r="D62" s="7">
        <f t="shared" si="9"/>
        <v>0</v>
      </c>
      <c r="F62" s="1" t="s">
        <v>96</v>
      </c>
      <c r="G62" s="10"/>
      <c r="H62" s="10"/>
      <c r="I62" s="7">
        <f t="shared" si="10"/>
        <v>0</v>
      </c>
    </row>
    <row r="63" spans="1:9">
      <c r="A63" s="17" t="str">
        <f>"Total " &amp; Table15173142536475[[#Headers],[Subscrpciones]]</f>
        <v>Total Subscrpciones</v>
      </c>
      <c r="B63" s="12">
        <f>SUBTOTAL(9,Table15173142536475[Budget])</f>
        <v>0</v>
      </c>
      <c r="C63" s="12">
        <f>SUBTOTAL(9,Table15173142536475[Actual])</f>
        <v>0</v>
      </c>
      <c r="D63" s="9">
        <f>SUBTOTAL(9,Table15173142536475[Difference])</f>
        <v>0</v>
      </c>
      <c r="F63" s="17" t="str">
        <f>"Total " &amp; Table14143041526374[[#Headers],[Misc]]</f>
        <v>Total Misc</v>
      </c>
      <c r="G63" s="12">
        <f>SUBTOTAL(9,Table14143041526374[Budget])</f>
        <v>0</v>
      </c>
      <c r="H63" s="12">
        <f>SUBTOTAL(9,Table14143041526374[Actual])</f>
        <v>0</v>
      </c>
      <c r="I63" s="9">
        <f>SUBTOTAL(9,Table14143041526374[Difference])</f>
        <v>0</v>
      </c>
    </row>
    <row r="64" spans="1:9">
      <c r="F64" s="5"/>
    </row>
    <row r="65" spans="5:6">
      <c r="F65" s="5"/>
    </row>
    <row r="66" spans="5:6">
      <c r="F66" s="5"/>
    </row>
    <row r="67" spans="5:6">
      <c r="F67" s="5"/>
    </row>
    <row r="68" spans="5:6">
      <c r="F68" s="5"/>
    </row>
    <row r="69" spans="5:6">
      <c r="F69" s="5"/>
    </row>
    <row r="72" spans="5:6">
      <c r="F72" s="5"/>
    </row>
    <row r="73" spans="5:6">
      <c r="F73" s="5"/>
    </row>
    <row r="74" spans="5:6">
      <c r="F74" s="5"/>
    </row>
    <row r="75" spans="5:6">
      <c r="E75" s="5"/>
      <c r="F75" s="5"/>
    </row>
    <row r="76" spans="5:6">
      <c r="E76" s="5"/>
      <c r="F76" s="5"/>
    </row>
    <row r="77" spans="5:6">
      <c r="E77" s="5"/>
      <c r="F77" s="5"/>
    </row>
    <row r="78" spans="5:6">
      <c r="E78" s="5"/>
      <c r="F78" s="5"/>
    </row>
    <row r="79" spans="5:6">
      <c r="F79" s="5"/>
    </row>
    <row r="80" spans="5:6">
      <c r="F80" s="5"/>
    </row>
    <row r="81" spans="5:6">
      <c r="E81" s="5"/>
      <c r="F81" s="5"/>
    </row>
    <row r="82" spans="5:6">
      <c r="E82" s="5"/>
    </row>
    <row r="83" spans="5:6">
      <c r="E83" s="5"/>
    </row>
    <row r="84" spans="5:6">
      <c r="E84" s="13" t="s">
        <v>5</v>
      </c>
    </row>
    <row r="85" spans="5:6">
      <c r="E85" s="5"/>
    </row>
    <row r="86" spans="5:6">
      <c r="E86" s="5"/>
    </row>
    <row r="87" spans="5:6">
      <c r="E87" s="5"/>
    </row>
    <row r="88" spans="5:6">
      <c r="E88" s="5"/>
    </row>
    <row r="89" spans="5:6">
      <c r="E89" s="5"/>
    </row>
    <row r="92" spans="5:6">
      <c r="E92" s="5"/>
    </row>
    <row r="93" spans="5:6">
      <c r="E93" s="5"/>
    </row>
    <row r="94" spans="5:6">
      <c r="E94" s="5"/>
    </row>
    <row r="95" spans="5:6">
      <c r="E95" s="5"/>
    </row>
    <row r="96" spans="5:6">
      <c r="E96" s="5"/>
    </row>
    <row r="97" spans="5:5">
      <c r="E97" s="5"/>
    </row>
    <row r="98" spans="5:5">
      <c r="E98" s="5"/>
    </row>
    <row r="99" spans="5:5">
      <c r="E99" s="5"/>
    </row>
    <row r="100" spans="5:5">
      <c r="E100" s="5"/>
    </row>
    <row r="101" spans="5:5">
      <c r="E101" s="5"/>
    </row>
    <row r="122" spans="6:6">
      <c r="F122" s="5"/>
    </row>
    <row r="123" spans="6:6">
      <c r="F123" s="5"/>
    </row>
    <row r="124" spans="6:6">
      <c r="F124" s="5"/>
    </row>
    <row r="125" spans="6:6">
      <c r="F125" s="5"/>
    </row>
    <row r="126" spans="6:6">
      <c r="F126" s="5"/>
    </row>
    <row r="127" spans="6:6">
      <c r="F127" s="5"/>
    </row>
    <row r="128" spans="6:6">
      <c r="F128" s="5"/>
    </row>
    <row r="131" spans="5:6">
      <c r="F131" s="5"/>
    </row>
    <row r="132" spans="5:6">
      <c r="F132" s="5"/>
    </row>
    <row r="133" spans="5:6">
      <c r="F133" s="5"/>
    </row>
    <row r="134" spans="5:6">
      <c r="F134" s="5"/>
    </row>
    <row r="135" spans="5:6">
      <c r="F135" s="5"/>
    </row>
    <row r="136" spans="5:6">
      <c r="F136" s="5"/>
    </row>
    <row r="137" spans="5:6">
      <c r="F137" s="5"/>
    </row>
    <row r="142" spans="5:6">
      <c r="E142" s="5"/>
    </row>
    <row r="143" spans="5:6">
      <c r="E143" s="5"/>
    </row>
    <row r="144" spans="5:6">
      <c r="E144" s="5"/>
    </row>
    <row r="145" spans="5:5">
      <c r="E145" s="5"/>
    </row>
    <row r="146" spans="5:5">
      <c r="E146" s="5"/>
    </row>
    <row r="147" spans="5:5">
      <c r="E147" s="5"/>
    </row>
    <row r="148" spans="5:5">
      <c r="E148" s="5"/>
    </row>
    <row r="151" spans="5:5">
      <c r="E151" s="5"/>
    </row>
    <row r="152" spans="5:5">
      <c r="E152" s="5"/>
    </row>
    <row r="153" spans="5:5">
      <c r="E153" s="5"/>
    </row>
    <row r="154" spans="5:5">
      <c r="E154" s="5"/>
    </row>
    <row r="155" spans="5:5">
      <c r="E155" s="5"/>
    </row>
    <row r="156" spans="5:5">
      <c r="E156" s="5"/>
    </row>
    <row r="157" spans="5:5">
      <c r="E157" s="5"/>
    </row>
  </sheetData>
  <mergeCells count="1">
    <mergeCell ref="A1:D3"/>
  </mergeCells>
  <conditionalFormatting sqref="B4">
    <cfRule type="containsText" priority="2" operator="containsText" text="Vertex42.com">
      <formula>NOT(ISERROR(SEARCH("Vertex42.com",B4)))</formula>
    </cfRule>
  </conditionalFormatting>
  <conditionalFormatting sqref="D5:D13 I11:I20 D16:D28 I24:I34 D32:D38 I38:I44 D42:D48 D52:D55 D59:D62 I59:I62">
    <cfRule type="cellIs" dxfId="128" priority="3" stopIfTrue="1" operator="lessThan">
      <formula>0</formula>
    </cfRule>
  </conditionalFormatting>
  <conditionalFormatting sqref="I48:I55">
    <cfRule type="cellIs" dxfId="127" priority="1" stopIfTrue="1" operator="lessThan">
      <formula>0</formula>
    </cfRule>
  </conditionalFormatting>
  <printOptions horizontalCentered="1"/>
  <pageMargins left="0.5" right="0.5" top="0.35" bottom="0.35" header="0.5" footer="0.25"/>
  <pageSetup scale="80" orientation="portrait"/>
  <headerFooter alignWithMargins="0"/>
  <drawing r:id="rId1"/>
  <tableParts count="11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11E5BC-C065-4AA2-8576-2C475B6CA67F}">
  <dimension ref="A1:L61"/>
  <sheetViews>
    <sheetView workbookViewId="0">
      <selection activeCell="D2" sqref="D2:D9"/>
    </sheetView>
  </sheetViews>
  <sheetFormatPr defaultColWidth="11" defaultRowHeight="14.25"/>
  <cols>
    <col min="7" max="8" width="12.375" bestFit="1" customWidth="1"/>
  </cols>
  <sheetData>
    <row r="1" spans="1:12">
      <c r="A1" t="s">
        <v>98</v>
      </c>
      <c r="B1" t="s">
        <v>99</v>
      </c>
      <c r="C1" t="s">
        <v>100</v>
      </c>
      <c r="D1" t="s">
        <v>101</v>
      </c>
      <c r="E1" t="s">
        <v>102</v>
      </c>
      <c r="F1" t="s">
        <v>100</v>
      </c>
      <c r="G1" s="26" t="s">
        <v>103</v>
      </c>
      <c r="H1" s="26" t="s">
        <v>104</v>
      </c>
      <c r="I1" t="s">
        <v>105</v>
      </c>
    </row>
    <row r="2" spans="1:12">
      <c r="A2" t="s">
        <v>106</v>
      </c>
      <c r="B2" s="26">
        <f>5000+3000</f>
        <v>8000</v>
      </c>
      <c r="C2" t="s">
        <v>107</v>
      </c>
      <c r="D2" s="26">
        <v>2000</v>
      </c>
      <c r="E2" s="26">
        <v>0</v>
      </c>
      <c r="F2" t="s">
        <v>108</v>
      </c>
      <c r="G2" s="27">
        <f>IF(F2="Si",D2,0)+IF(F2="Si",B2,0)</f>
        <v>0</v>
      </c>
      <c r="H2" s="27">
        <v>7000</v>
      </c>
      <c r="I2" s="27">
        <f>G2-H2</f>
        <v>-7000</v>
      </c>
    </row>
    <row r="3" spans="1:12">
      <c r="A3" t="s">
        <v>109</v>
      </c>
      <c r="B3" s="26">
        <f>2500+2500</f>
        <v>5000</v>
      </c>
      <c r="C3" t="s">
        <v>107</v>
      </c>
      <c r="D3" s="26">
        <v>2000</v>
      </c>
      <c r="E3" s="26">
        <f>800+2200</f>
        <v>3000</v>
      </c>
      <c r="F3" t="s">
        <v>107</v>
      </c>
      <c r="G3" s="27">
        <f>IF(F3="Si",D3,0)+IF(F3="Si",B3,0)</f>
        <v>7000</v>
      </c>
      <c r="H3" s="27">
        <v>7000</v>
      </c>
      <c r="I3" s="27">
        <f t="shared" ref="I3:I43" si="0">G3-H3</f>
        <v>0</v>
      </c>
    </row>
    <row r="4" spans="1:12">
      <c r="A4" t="s">
        <v>110</v>
      </c>
      <c r="B4" s="26">
        <v>0</v>
      </c>
      <c r="C4" s="26" t="s">
        <v>111</v>
      </c>
      <c r="D4" s="26">
        <v>2000</v>
      </c>
      <c r="E4" s="26">
        <v>3000</v>
      </c>
      <c r="F4" t="s">
        <v>107</v>
      </c>
      <c r="G4" s="27">
        <f t="shared" ref="G4:G43" si="1">IF(F4="Si",D4,0)+IF(F4="Si",B4,0)</f>
        <v>2000</v>
      </c>
      <c r="H4" s="27">
        <v>7000</v>
      </c>
      <c r="I4" s="27">
        <f t="shared" si="0"/>
        <v>-5000</v>
      </c>
      <c r="J4" t="s">
        <v>112</v>
      </c>
      <c r="L4" t="s">
        <v>113</v>
      </c>
    </row>
    <row r="5" spans="1:12">
      <c r="A5" t="s">
        <v>114</v>
      </c>
      <c r="B5" s="26">
        <v>5000</v>
      </c>
      <c r="C5" s="26" t="s">
        <v>107</v>
      </c>
      <c r="D5" s="26">
        <v>2000</v>
      </c>
      <c r="E5" s="26">
        <v>3000</v>
      </c>
      <c r="F5" t="s">
        <v>107</v>
      </c>
      <c r="G5" s="27">
        <f t="shared" si="1"/>
        <v>7000</v>
      </c>
      <c r="H5" s="27">
        <v>7000</v>
      </c>
      <c r="I5" s="27">
        <f t="shared" si="0"/>
        <v>0</v>
      </c>
    </row>
    <row r="6" spans="1:12">
      <c r="A6" t="s">
        <v>115</v>
      </c>
      <c r="B6" s="26">
        <v>10000</v>
      </c>
      <c r="C6" s="26" t="s">
        <v>107</v>
      </c>
      <c r="D6" s="26">
        <v>2000</v>
      </c>
      <c r="E6" s="26">
        <v>6000</v>
      </c>
      <c r="F6" t="s">
        <v>107</v>
      </c>
      <c r="G6" s="27">
        <f t="shared" si="1"/>
        <v>12000</v>
      </c>
      <c r="H6" s="27">
        <v>7000</v>
      </c>
      <c r="I6" s="27">
        <f t="shared" si="0"/>
        <v>5000</v>
      </c>
    </row>
    <row r="7" spans="1:12">
      <c r="A7" t="s">
        <v>116</v>
      </c>
      <c r="B7" s="26">
        <v>5000</v>
      </c>
      <c r="C7" s="26" t="s">
        <v>111</v>
      </c>
      <c r="D7" s="26">
        <v>2000</v>
      </c>
      <c r="E7" s="26">
        <v>3000</v>
      </c>
      <c r="F7" t="s">
        <v>108</v>
      </c>
      <c r="G7" s="27">
        <f>IF(F7="Si",D7,0)+IF(F7="Si",B7,0)</f>
        <v>0</v>
      </c>
      <c r="H7" s="27">
        <v>7000</v>
      </c>
      <c r="I7" s="27">
        <f t="shared" si="0"/>
        <v>-7000</v>
      </c>
    </row>
    <row r="8" spans="1:12">
      <c r="A8" t="s">
        <v>117</v>
      </c>
      <c r="B8" s="26">
        <v>5000</v>
      </c>
      <c r="C8" s="26" t="s">
        <v>111</v>
      </c>
      <c r="D8" s="26">
        <v>2000</v>
      </c>
      <c r="E8" s="26">
        <v>3000</v>
      </c>
      <c r="F8" t="s">
        <v>108</v>
      </c>
      <c r="G8" s="27">
        <f>IF(F8="Si",D8,0)+IF(F8="Si",B8,0)</f>
        <v>0</v>
      </c>
      <c r="H8" s="27">
        <v>7000</v>
      </c>
      <c r="I8" s="27">
        <f t="shared" si="0"/>
        <v>-7000</v>
      </c>
    </row>
    <row r="9" spans="1:12">
      <c r="A9" t="s">
        <v>118</v>
      </c>
      <c r="B9" s="26">
        <v>5000</v>
      </c>
      <c r="C9" s="26" t="s">
        <v>111</v>
      </c>
      <c r="D9" s="26">
        <v>2000</v>
      </c>
      <c r="E9" s="26">
        <v>3000</v>
      </c>
      <c r="F9" t="s">
        <v>108</v>
      </c>
      <c r="G9" s="27">
        <f t="shared" si="1"/>
        <v>0</v>
      </c>
      <c r="H9" s="27">
        <v>7000</v>
      </c>
      <c r="I9" s="27">
        <f t="shared" si="0"/>
        <v>-7000</v>
      </c>
    </row>
    <row r="10" spans="1:12">
      <c r="A10" t="s">
        <v>119</v>
      </c>
      <c r="B10" s="26"/>
      <c r="C10" s="26"/>
      <c r="D10" s="26"/>
      <c r="E10" s="26"/>
      <c r="G10" s="27">
        <f t="shared" si="1"/>
        <v>0</v>
      </c>
      <c r="H10" s="27">
        <v>7000</v>
      </c>
      <c r="I10" s="27">
        <f t="shared" si="0"/>
        <v>-7000</v>
      </c>
    </row>
    <row r="11" spans="1:12">
      <c r="A11" t="s">
        <v>120</v>
      </c>
      <c r="B11" s="26"/>
      <c r="C11" s="26"/>
      <c r="D11" s="26"/>
      <c r="E11" s="26"/>
      <c r="G11" s="27">
        <f t="shared" si="1"/>
        <v>0</v>
      </c>
      <c r="H11" s="27">
        <v>7000</v>
      </c>
      <c r="I11" s="27">
        <f t="shared" si="0"/>
        <v>-7000</v>
      </c>
    </row>
    <row r="12" spans="1:12">
      <c r="A12" t="s">
        <v>121</v>
      </c>
      <c r="B12" s="26"/>
      <c r="C12" s="26"/>
      <c r="D12" s="26"/>
      <c r="E12" s="26"/>
      <c r="G12" s="27">
        <f t="shared" si="1"/>
        <v>0</v>
      </c>
      <c r="H12" s="27">
        <v>7000</v>
      </c>
      <c r="I12" s="27">
        <f t="shared" si="0"/>
        <v>-7000</v>
      </c>
    </row>
    <row r="13" spans="1:12">
      <c r="A13" t="s">
        <v>122</v>
      </c>
      <c r="B13" s="26"/>
      <c r="C13" s="26"/>
      <c r="D13" s="26"/>
      <c r="E13" s="26"/>
      <c r="G13" s="27">
        <f t="shared" si="1"/>
        <v>0</v>
      </c>
      <c r="H13" s="27">
        <v>7000</v>
      </c>
      <c r="I13" s="27">
        <f t="shared" si="0"/>
        <v>-7000</v>
      </c>
    </row>
    <row r="14" spans="1:12">
      <c r="A14" t="s">
        <v>106</v>
      </c>
      <c r="B14" s="26"/>
      <c r="C14" s="26"/>
      <c r="D14" s="26"/>
      <c r="E14" s="26"/>
      <c r="G14" s="27">
        <f t="shared" si="1"/>
        <v>0</v>
      </c>
      <c r="H14" s="27">
        <v>7000</v>
      </c>
      <c r="I14" s="27">
        <f t="shared" si="0"/>
        <v>-7000</v>
      </c>
    </row>
    <row r="15" spans="1:12">
      <c r="A15" t="s">
        <v>109</v>
      </c>
      <c r="B15" s="26"/>
      <c r="C15" s="26"/>
      <c r="D15" s="26"/>
      <c r="E15" s="26"/>
      <c r="G15" s="27">
        <f t="shared" si="1"/>
        <v>0</v>
      </c>
      <c r="H15" s="27">
        <v>7000</v>
      </c>
      <c r="I15" s="27">
        <f t="shared" si="0"/>
        <v>-7000</v>
      </c>
    </row>
    <row r="16" spans="1:12">
      <c r="A16" t="s">
        <v>110</v>
      </c>
      <c r="B16" s="26"/>
      <c r="C16" s="26"/>
      <c r="D16" s="26"/>
      <c r="E16" s="26"/>
      <c r="G16" s="27">
        <f t="shared" si="1"/>
        <v>0</v>
      </c>
      <c r="H16" s="27">
        <v>7000</v>
      </c>
      <c r="I16" s="27">
        <f t="shared" si="0"/>
        <v>-7000</v>
      </c>
    </row>
    <row r="17" spans="1:9">
      <c r="A17" t="s">
        <v>114</v>
      </c>
      <c r="B17" s="26"/>
      <c r="C17" s="26"/>
      <c r="D17" s="26"/>
      <c r="E17" s="26"/>
      <c r="G17" s="27">
        <f t="shared" si="1"/>
        <v>0</v>
      </c>
      <c r="H17" s="27">
        <v>7000</v>
      </c>
      <c r="I17" s="27">
        <f t="shared" si="0"/>
        <v>-7000</v>
      </c>
    </row>
    <row r="18" spans="1:9">
      <c r="A18" t="s">
        <v>115</v>
      </c>
      <c r="B18" s="26"/>
      <c r="C18" s="26"/>
      <c r="D18" s="26"/>
      <c r="E18" s="26"/>
      <c r="G18" s="27">
        <f t="shared" si="1"/>
        <v>0</v>
      </c>
      <c r="H18" s="27">
        <v>7000</v>
      </c>
      <c r="I18" s="27">
        <f t="shared" si="0"/>
        <v>-7000</v>
      </c>
    </row>
    <row r="19" spans="1:9">
      <c r="A19" t="s">
        <v>116</v>
      </c>
      <c r="B19" s="26"/>
      <c r="C19" s="26"/>
      <c r="D19" s="26"/>
      <c r="E19" s="26"/>
      <c r="G19" s="27">
        <f t="shared" si="1"/>
        <v>0</v>
      </c>
      <c r="H19" s="27">
        <v>7000</v>
      </c>
      <c r="I19" s="27">
        <f t="shared" si="0"/>
        <v>-7000</v>
      </c>
    </row>
    <row r="20" spans="1:9">
      <c r="A20" t="s">
        <v>117</v>
      </c>
      <c r="B20" s="26"/>
      <c r="C20" s="26"/>
      <c r="D20" s="26"/>
      <c r="E20" s="26"/>
      <c r="G20" s="27">
        <f t="shared" si="1"/>
        <v>0</v>
      </c>
      <c r="H20" s="27">
        <v>7000</v>
      </c>
      <c r="I20" s="27">
        <f t="shared" si="0"/>
        <v>-7000</v>
      </c>
    </row>
    <row r="21" spans="1:9">
      <c r="A21" t="s">
        <v>118</v>
      </c>
      <c r="B21" s="26"/>
      <c r="C21" s="26"/>
      <c r="D21" s="26"/>
      <c r="E21" s="26"/>
      <c r="G21" s="27">
        <f t="shared" si="1"/>
        <v>0</v>
      </c>
      <c r="H21" s="27">
        <v>7000</v>
      </c>
      <c r="I21" s="27">
        <f t="shared" si="0"/>
        <v>-7000</v>
      </c>
    </row>
    <row r="22" spans="1:9">
      <c r="A22" t="s">
        <v>119</v>
      </c>
      <c r="B22" s="26"/>
      <c r="C22" s="26"/>
      <c r="D22" s="26"/>
      <c r="E22" s="26"/>
      <c r="G22" s="27">
        <f t="shared" si="1"/>
        <v>0</v>
      </c>
      <c r="H22" s="27">
        <v>7000</v>
      </c>
      <c r="I22" s="27">
        <f t="shared" si="0"/>
        <v>-7000</v>
      </c>
    </row>
    <row r="23" spans="1:9">
      <c r="A23" t="s">
        <v>120</v>
      </c>
      <c r="B23" s="26"/>
      <c r="C23" s="26"/>
      <c r="D23" s="26"/>
      <c r="E23" s="26"/>
      <c r="G23" s="27">
        <f t="shared" si="1"/>
        <v>0</v>
      </c>
      <c r="H23" s="27">
        <v>7000</v>
      </c>
      <c r="I23" s="27">
        <f t="shared" si="0"/>
        <v>-7000</v>
      </c>
    </row>
    <row r="24" spans="1:9">
      <c r="A24" t="s">
        <v>121</v>
      </c>
      <c r="B24" s="26"/>
      <c r="C24" s="26"/>
      <c r="D24" s="26"/>
      <c r="E24" s="26"/>
      <c r="G24" s="27">
        <f t="shared" si="1"/>
        <v>0</v>
      </c>
      <c r="H24" s="27">
        <v>7000</v>
      </c>
      <c r="I24" s="27">
        <f t="shared" si="0"/>
        <v>-7000</v>
      </c>
    </row>
    <row r="25" spans="1:9">
      <c r="A25" t="s">
        <v>122</v>
      </c>
      <c r="B25" s="26"/>
      <c r="C25" s="26"/>
      <c r="D25" s="26"/>
      <c r="E25" s="26"/>
      <c r="G25" s="27">
        <f t="shared" si="1"/>
        <v>0</v>
      </c>
      <c r="H25" s="27">
        <v>7000</v>
      </c>
      <c r="I25" s="27">
        <f t="shared" si="0"/>
        <v>-7000</v>
      </c>
    </row>
    <row r="26" spans="1:9">
      <c r="A26" t="s">
        <v>106</v>
      </c>
      <c r="B26" s="26"/>
      <c r="C26" s="26"/>
      <c r="D26" s="26"/>
      <c r="E26" s="26"/>
      <c r="G26" s="27">
        <f t="shared" si="1"/>
        <v>0</v>
      </c>
      <c r="H26" s="27">
        <v>7000</v>
      </c>
      <c r="I26" s="27">
        <f t="shared" si="0"/>
        <v>-7000</v>
      </c>
    </row>
    <row r="27" spans="1:9">
      <c r="A27" t="s">
        <v>109</v>
      </c>
      <c r="B27" s="26"/>
      <c r="C27" s="26"/>
      <c r="D27" s="26"/>
      <c r="E27" s="26"/>
      <c r="G27" s="27">
        <f t="shared" si="1"/>
        <v>0</v>
      </c>
      <c r="H27" s="27">
        <v>7000</v>
      </c>
      <c r="I27" s="27">
        <f t="shared" si="0"/>
        <v>-7000</v>
      </c>
    </row>
    <row r="28" spans="1:9">
      <c r="A28" t="s">
        <v>110</v>
      </c>
      <c r="B28" s="26"/>
      <c r="C28" s="26"/>
      <c r="D28" s="26"/>
      <c r="E28" s="26"/>
      <c r="G28" s="27">
        <f t="shared" si="1"/>
        <v>0</v>
      </c>
      <c r="H28" s="27">
        <v>7000</v>
      </c>
      <c r="I28" s="27">
        <f t="shared" si="0"/>
        <v>-7000</v>
      </c>
    </row>
    <row r="29" spans="1:9">
      <c r="A29" t="s">
        <v>114</v>
      </c>
      <c r="B29" s="26"/>
      <c r="C29" s="26"/>
      <c r="D29" s="26"/>
      <c r="E29" s="26"/>
      <c r="G29" s="27">
        <f t="shared" si="1"/>
        <v>0</v>
      </c>
      <c r="H29" s="27">
        <v>7000</v>
      </c>
      <c r="I29" s="27">
        <f t="shared" si="0"/>
        <v>-7000</v>
      </c>
    </row>
    <row r="30" spans="1:9">
      <c r="A30" t="s">
        <v>115</v>
      </c>
      <c r="B30" s="26"/>
      <c r="C30" s="26"/>
      <c r="D30" s="26"/>
      <c r="E30" s="26"/>
      <c r="G30" s="27">
        <f t="shared" si="1"/>
        <v>0</v>
      </c>
      <c r="H30" s="27">
        <v>7000</v>
      </c>
      <c r="I30" s="27">
        <f t="shared" si="0"/>
        <v>-7000</v>
      </c>
    </row>
    <row r="31" spans="1:9">
      <c r="A31" t="s">
        <v>116</v>
      </c>
      <c r="B31" s="26"/>
      <c r="C31" s="26"/>
      <c r="D31" s="26"/>
      <c r="E31" s="26"/>
      <c r="G31" s="27">
        <f t="shared" si="1"/>
        <v>0</v>
      </c>
      <c r="H31" s="27">
        <v>7000</v>
      </c>
      <c r="I31" s="27">
        <f t="shared" si="0"/>
        <v>-7000</v>
      </c>
    </row>
    <row r="32" spans="1:9">
      <c r="A32" t="s">
        <v>117</v>
      </c>
      <c r="B32" s="26"/>
      <c r="C32" s="26"/>
      <c r="D32" s="26"/>
      <c r="E32" s="26"/>
      <c r="G32" s="27">
        <f t="shared" si="1"/>
        <v>0</v>
      </c>
      <c r="H32" s="27">
        <v>7000</v>
      </c>
      <c r="I32" s="27">
        <f t="shared" si="0"/>
        <v>-7000</v>
      </c>
    </row>
    <row r="33" spans="1:9">
      <c r="A33" t="s">
        <v>118</v>
      </c>
      <c r="B33" s="26"/>
      <c r="C33" s="26"/>
      <c r="D33" s="26"/>
      <c r="E33" s="26"/>
      <c r="G33" s="27">
        <f t="shared" si="1"/>
        <v>0</v>
      </c>
      <c r="H33" s="27">
        <v>7000</v>
      </c>
      <c r="I33" s="27">
        <f t="shared" si="0"/>
        <v>-7000</v>
      </c>
    </row>
    <row r="34" spans="1:9">
      <c r="A34" t="s">
        <v>119</v>
      </c>
      <c r="B34" s="26"/>
      <c r="C34" s="26"/>
      <c r="D34" s="26"/>
      <c r="E34" s="26"/>
      <c r="G34" s="27">
        <f t="shared" si="1"/>
        <v>0</v>
      </c>
      <c r="H34" s="27">
        <v>7000</v>
      </c>
      <c r="I34" s="27">
        <f t="shared" si="0"/>
        <v>-7000</v>
      </c>
    </row>
    <row r="35" spans="1:9">
      <c r="A35" t="s">
        <v>120</v>
      </c>
      <c r="B35" s="26"/>
      <c r="C35" s="26"/>
      <c r="D35" s="26"/>
      <c r="E35" s="26"/>
      <c r="G35" s="27">
        <f t="shared" si="1"/>
        <v>0</v>
      </c>
      <c r="H35" s="27">
        <v>7000</v>
      </c>
      <c r="I35" s="27">
        <f t="shared" si="0"/>
        <v>-7000</v>
      </c>
    </row>
    <row r="36" spans="1:9">
      <c r="A36" t="s">
        <v>121</v>
      </c>
      <c r="B36" s="26"/>
      <c r="C36" s="26"/>
      <c r="D36" s="26"/>
      <c r="E36" s="26"/>
      <c r="G36" s="27">
        <f t="shared" si="1"/>
        <v>0</v>
      </c>
      <c r="H36" s="27">
        <v>7000</v>
      </c>
      <c r="I36" s="27">
        <f t="shared" si="0"/>
        <v>-7000</v>
      </c>
    </row>
    <row r="37" spans="1:9">
      <c r="A37" t="s">
        <v>122</v>
      </c>
      <c r="B37" s="26"/>
      <c r="C37" s="26"/>
      <c r="D37" s="26"/>
      <c r="E37" s="26"/>
      <c r="G37" s="27">
        <f t="shared" si="1"/>
        <v>0</v>
      </c>
      <c r="H37" s="27">
        <v>7000</v>
      </c>
      <c r="I37" s="27">
        <f t="shared" si="0"/>
        <v>-7000</v>
      </c>
    </row>
    <row r="38" spans="1:9">
      <c r="A38" t="s">
        <v>106</v>
      </c>
      <c r="B38" s="26"/>
      <c r="C38" s="26"/>
      <c r="D38" s="26"/>
      <c r="E38" s="26"/>
      <c r="G38" s="27">
        <f t="shared" si="1"/>
        <v>0</v>
      </c>
      <c r="H38" s="27">
        <v>7000</v>
      </c>
      <c r="I38" s="27">
        <f t="shared" si="0"/>
        <v>-7000</v>
      </c>
    </row>
    <row r="39" spans="1:9">
      <c r="A39" t="s">
        <v>109</v>
      </c>
      <c r="B39" s="26"/>
      <c r="C39" s="26"/>
      <c r="D39" s="26"/>
      <c r="E39" s="26"/>
      <c r="G39" s="27">
        <f t="shared" si="1"/>
        <v>0</v>
      </c>
      <c r="H39" s="27">
        <v>7000</v>
      </c>
      <c r="I39" s="27">
        <f t="shared" si="0"/>
        <v>-7000</v>
      </c>
    </row>
    <row r="40" spans="1:9">
      <c r="A40" t="s">
        <v>110</v>
      </c>
      <c r="B40" s="26"/>
      <c r="C40" s="26"/>
      <c r="D40" s="26"/>
      <c r="E40" s="26"/>
      <c r="G40" s="27">
        <f t="shared" si="1"/>
        <v>0</v>
      </c>
      <c r="H40" s="27">
        <v>7000</v>
      </c>
      <c r="I40" s="27">
        <f t="shared" si="0"/>
        <v>-7000</v>
      </c>
    </row>
    <row r="41" spans="1:9">
      <c r="A41" t="s">
        <v>114</v>
      </c>
      <c r="B41" s="26"/>
      <c r="C41" s="26"/>
      <c r="D41" s="26"/>
      <c r="E41" s="26"/>
      <c r="G41" s="27">
        <f t="shared" si="1"/>
        <v>0</v>
      </c>
      <c r="H41" s="27">
        <v>7000</v>
      </c>
      <c r="I41" s="27">
        <f t="shared" si="0"/>
        <v>-7000</v>
      </c>
    </row>
    <row r="42" spans="1:9">
      <c r="A42" t="s">
        <v>115</v>
      </c>
      <c r="B42" s="26"/>
      <c r="C42" s="26"/>
      <c r="D42" s="26"/>
      <c r="E42" s="26"/>
      <c r="G42" s="27">
        <f t="shared" si="1"/>
        <v>0</v>
      </c>
      <c r="H42" s="27">
        <v>7000</v>
      </c>
      <c r="I42" s="27">
        <f t="shared" si="0"/>
        <v>-7000</v>
      </c>
    </row>
    <row r="43" spans="1:9">
      <c r="A43" t="s">
        <v>116</v>
      </c>
      <c r="B43" s="26"/>
      <c r="C43" s="26"/>
      <c r="D43" s="26"/>
      <c r="E43" s="26"/>
      <c r="G43" s="27">
        <f t="shared" si="1"/>
        <v>0</v>
      </c>
      <c r="H43" s="27">
        <v>7000</v>
      </c>
      <c r="I43" s="27">
        <f t="shared" si="0"/>
        <v>-7000</v>
      </c>
    </row>
    <row r="44" spans="1:9">
      <c r="A44" t="s">
        <v>103</v>
      </c>
      <c r="B44" s="26">
        <f>SUM(B2:B43)</f>
        <v>43000</v>
      </c>
      <c r="C44" s="26"/>
      <c r="D44" s="26">
        <f>SUM(D2:D43)</f>
        <v>16000</v>
      </c>
      <c r="E44" s="26"/>
    </row>
    <row r="45" spans="1:9">
      <c r="B45" s="26"/>
      <c r="C45" s="26"/>
      <c r="D45" s="26"/>
      <c r="E45" s="26"/>
    </row>
    <row r="46" spans="1:9">
      <c r="B46" s="26"/>
      <c r="C46" s="26"/>
      <c r="D46" s="26"/>
      <c r="E46" s="26"/>
    </row>
    <row r="47" spans="1:9">
      <c r="B47" s="26"/>
      <c r="C47" s="26"/>
      <c r="D47" s="26"/>
      <c r="E47" s="26"/>
    </row>
    <row r="48" spans="1:9">
      <c r="B48" s="26"/>
      <c r="C48" s="26"/>
      <c r="D48" s="26"/>
      <c r="E48" s="26"/>
    </row>
    <row r="49" spans="2:5">
      <c r="B49" s="26"/>
      <c r="C49" s="26"/>
      <c r="D49" s="26"/>
      <c r="E49" s="26"/>
    </row>
    <row r="50" spans="2:5">
      <c r="B50" s="26"/>
      <c r="C50" s="26"/>
      <c r="D50" s="26"/>
      <c r="E50" s="26"/>
    </row>
    <row r="51" spans="2:5">
      <c r="B51" s="26"/>
      <c r="C51" s="26"/>
      <c r="D51" s="26"/>
      <c r="E51" s="26"/>
    </row>
    <row r="52" spans="2:5">
      <c r="B52" s="26"/>
      <c r="C52" s="26"/>
      <c r="D52" s="26"/>
      <c r="E52" s="26"/>
    </row>
    <row r="53" spans="2:5">
      <c r="B53" s="26"/>
      <c r="C53" s="26"/>
      <c r="D53" s="26"/>
      <c r="E53" s="26"/>
    </row>
    <row r="54" spans="2:5">
      <c r="B54" s="26"/>
      <c r="C54" s="26"/>
      <c r="D54" s="26"/>
      <c r="E54" s="26"/>
    </row>
    <row r="55" spans="2:5">
      <c r="B55" s="26"/>
      <c r="C55" s="26"/>
      <c r="D55" s="26"/>
      <c r="E55" s="26"/>
    </row>
    <row r="56" spans="2:5">
      <c r="B56" s="26"/>
      <c r="C56" s="26"/>
      <c r="D56" s="26"/>
      <c r="E56" s="26"/>
    </row>
    <row r="57" spans="2:5">
      <c r="B57" s="26"/>
      <c r="C57" s="26"/>
      <c r="D57" s="26"/>
      <c r="E57" s="26"/>
    </row>
    <row r="58" spans="2:5">
      <c r="B58" s="26"/>
      <c r="C58" s="26"/>
      <c r="D58" s="26"/>
      <c r="E58" s="26"/>
    </row>
    <row r="59" spans="2:5">
      <c r="B59" s="26"/>
      <c r="C59" s="26"/>
      <c r="D59" s="26"/>
      <c r="E59" s="26"/>
    </row>
    <row r="60" spans="2:5">
      <c r="B60" s="26"/>
      <c r="C60" s="26"/>
      <c r="D60" s="26"/>
      <c r="E60" s="26"/>
    </row>
    <row r="61" spans="2:5">
      <c r="B61" s="26"/>
      <c r="C61" s="26"/>
      <c r="D61" s="26"/>
      <c r="E61" s="26"/>
    </row>
  </sheetData>
  <phoneticPr fontId="15" type="noConversion"/>
  <conditionalFormatting sqref="I2:I43">
    <cfRule type="colorScale" priority="1">
      <colorScale>
        <cfvo type="min"/>
        <cfvo type="max"/>
        <color rgb="FFFCFCFF"/>
        <color rgb="FF63BE7B"/>
      </colorScale>
    </cfRule>
    <cfRule type="colorScale" priority="2">
      <colorScale>
        <cfvo type="min"/>
        <cfvo type="percentile" val="50"/>
        <cfvo type="max"/>
        <color rgb="FF5A8AC6"/>
        <color rgb="FFFCFCFF"/>
        <color rgb="FFF8696B"/>
      </colorScale>
    </cfRule>
    <cfRule type="colorScale" priority="3">
      <colorScale>
        <cfvo type="min"/>
        <cfvo type="percentile" val="50"/>
        <cfvo type="max"/>
        <color rgb="FF63BE7B"/>
        <color rgb="FFFFEB84"/>
        <color rgb="FFF8696B"/>
      </colorScale>
    </cfRule>
    <cfRule type="colorScale" priority="4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4031A-D066-4CC0-908E-0A39D810EFC1}">
  <sheetPr filterMode="1"/>
  <dimension ref="B1:S27"/>
  <sheetViews>
    <sheetView tabSelected="1" workbookViewId="0">
      <selection activeCell="D3" sqref="D3"/>
    </sheetView>
  </sheetViews>
  <sheetFormatPr defaultColWidth="9" defaultRowHeight="14.25"/>
  <cols>
    <col min="2" max="2" width="10.875" bestFit="1" customWidth="1"/>
    <col min="3" max="3" width="18.375" bestFit="1" customWidth="1"/>
    <col min="4" max="4" width="22.5" bestFit="1" customWidth="1"/>
    <col min="5" max="5" width="14.125" bestFit="1" customWidth="1"/>
    <col min="6" max="6" width="35.75" style="43" bestFit="1" customWidth="1"/>
    <col min="7" max="7" width="15.25" style="43" customWidth="1"/>
    <col min="8" max="8" width="15.875" style="43" customWidth="1"/>
    <col min="9" max="9" width="11.375" bestFit="1" customWidth="1"/>
    <col min="10" max="10" width="10.375" customWidth="1"/>
    <col min="11" max="11" width="19.5" bestFit="1" customWidth="1"/>
    <col min="12" max="12" width="19.5" customWidth="1"/>
    <col min="13" max="13" width="11.5" bestFit="1" customWidth="1"/>
    <col min="18" max="18" width="12.5" bestFit="1" customWidth="1"/>
    <col min="19" max="19" width="9.875" bestFit="1" customWidth="1"/>
  </cols>
  <sheetData>
    <row r="1" spans="2:19" ht="15">
      <c r="C1" s="45" t="s">
        <v>123</v>
      </c>
      <c r="D1" s="45" t="s">
        <v>124</v>
      </c>
      <c r="F1"/>
      <c r="G1"/>
      <c r="H1"/>
    </row>
    <row r="2" spans="2:19">
      <c r="C2" s="29">
        <v>44774</v>
      </c>
      <c r="D2" s="29">
        <f ca="1">TODAY()</f>
        <v>45585</v>
      </c>
      <c r="E2" s="41">
        <f ca="1">TRUNC((D2-C2)/30)</f>
        <v>27</v>
      </c>
      <c r="F2" t="s">
        <v>125</v>
      </c>
      <c r="G2"/>
      <c r="H2"/>
    </row>
    <row r="3" spans="2:19" ht="15">
      <c r="C3" s="28" t="s">
        <v>126</v>
      </c>
      <c r="D3" s="37" t="s">
        <v>127</v>
      </c>
      <c r="E3" s="44"/>
      <c r="F3" s="42"/>
      <c r="G3" s="42" t="s">
        <v>127</v>
      </c>
      <c r="H3" s="42" t="s">
        <v>128</v>
      </c>
      <c r="I3" s="42"/>
      <c r="J3" s="42">
        <f>9500-11123</f>
        <v>-1623</v>
      </c>
      <c r="K3" s="42"/>
      <c r="L3" s="42"/>
      <c r="M3" s="42"/>
      <c r="S3" s="36"/>
    </row>
    <row r="4" spans="2:19" s="43" customFormat="1">
      <c r="C4" s="43">
        <f>Dash!B44</f>
        <v>43000</v>
      </c>
      <c r="D4" s="43">
        <f ca="1">E2*2000</f>
        <v>54000</v>
      </c>
      <c r="E4" s="46"/>
      <c r="F4" s="46"/>
      <c r="G4" s="46">
        <f>F11+F12+F14-31120+F17</f>
        <v>14623.012254000001</v>
      </c>
      <c r="H4" s="46">
        <f ca="1">G4-D4</f>
        <v>-39376.987745999999</v>
      </c>
      <c r="I4" s="46" t="s">
        <v>129</v>
      </c>
      <c r="J4" s="46"/>
      <c r="K4" s="46"/>
      <c r="L4" s="46"/>
      <c r="M4" s="46"/>
    </row>
    <row r="5" spans="2:19" ht="15">
      <c r="C5" t="s">
        <v>130</v>
      </c>
      <c r="D5" t="s">
        <v>131</v>
      </c>
      <c r="F5"/>
      <c r="G5" s="42" t="s">
        <v>132</v>
      </c>
      <c r="H5" s="46"/>
    </row>
    <row r="6" spans="2:19">
      <c r="C6" s="36" t="s">
        <v>82</v>
      </c>
      <c r="F6"/>
      <c r="G6" s="43">
        <f>F13+F15+F16</f>
        <v>18494.338958</v>
      </c>
      <c r="H6" s="46">
        <f>G6-C4</f>
        <v>-24505.661042</v>
      </c>
      <c r="R6" s="27"/>
    </row>
    <row r="7" spans="2:19">
      <c r="C7" s="43">
        <v>30000</v>
      </c>
      <c r="D7" t="s">
        <v>133</v>
      </c>
      <c r="F7"/>
      <c r="G7"/>
      <c r="H7"/>
    </row>
    <row r="8" spans="2:19">
      <c r="C8" s="29">
        <f ca="1">TODAY()</f>
        <v>45585</v>
      </c>
      <c r="F8"/>
      <c r="G8"/>
      <c r="H8" s="43">
        <f>H6/55.0935</f>
        <v>-444.80131126176411</v>
      </c>
    </row>
    <row r="9" spans="2:19" ht="15">
      <c r="C9" s="31" t="s">
        <v>134</v>
      </c>
      <c r="F9"/>
      <c r="G9"/>
      <c r="H9"/>
      <c r="N9" t="e" cm="1">
        <f t="array" aca="1" ref="N9" ca="1">tr</f>
        <v>#NAME?</v>
      </c>
    </row>
    <row r="10" spans="2:19" ht="15">
      <c r="C10" s="32" t="s">
        <v>135</v>
      </c>
      <c r="D10" s="33" t="s">
        <v>136</v>
      </c>
      <c r="E10" s="33" t="s">
        <v>137</v>
      </c>
      <c r="F10" s="33" t="s">
        <v>138</v>
      </c>
      <c r="G10" s="33" t="s">
        <v>139</v>
      </c>
      <c r="H10" s="33" t="s">
        <v>140</v>
      </c>
      <c r="I10" s="33" t="s">
        <v>141</v>
      </c>
      <c r="J10" s="33" t="s">
        <v>142</v>
      </c>
      <c r="K10" s="34" t="s">
        <v>143</v>
      </c>
      <c r="L10" s="31" t="s">
        <v>144</v>
      </c>
      <c r="M10" t="s">
        <v>145</v>
      </c>
    </row>
    <row r="11" spans="2:19">
      <c r="C11" s="36" t="s">
        <v>146</v>
      </c>
      <c r="D11">
        <v>56</v>
      </c>
      <c r="E11">
        <v>88.55</v>
      </c>
      <c r="F11" s="43">
        <f>D11*E11</f>
        <v>4958.8</v>
      </c>
      <c r="I11" s="29">
        <v>46450</v>
      </c>
      <c r="J11" s="29" t="s">
        <v>147</v>
      </c>
      <c r="K11" s="30">
        <f t="shared" ref="K11:K17" ca="1" si="0">(I11-$C$8)/365</f>
        <v>2.3698630136986303</v>
      </c>
      <c r="L11" s="30" t="s">
        <v>148</v>
      </c>
    </row>
    <row r="12" spans="2:19">
      <c r="B12" s="27">
        <f>D12*E12</f>
        <v>56745</v>
      </c>
      <c r="C12" s="38" t="s">
        <v>149</v>
      </c>
      <c r="D12">
        <v>6000</v>
      </c>
      <c r="E12">
        <v>9.4574999999999996</v>
      </c>
      <c r="F12" s="43">
        <f>D12*E12-31121</f>
        <v>25624</v>
      </c>
      <c r="G12" s="43">
        <v>10</v>
      </c>
      <c r="H12" s="43">
        <f>D12*G12</f>
        <v>60000</v>
      </c>
      <c r="I12" s="29">
        <v>45330</v>
      </c>
      <c r="J12" s="29" t="s">
        <v>147</v>
      </c>
      <c r="K12" s="30">
        <f t="shared" ca="1" si="0"/>
        <v>-0.69863013698630139</v>
      </c>
      <c r="L12" s="30" t="s">
        <v>148</v>
      </c>
      <c r="M12" s="27">
        <v>27095</v>
      </c>
      <c r="N12" t="s">
        <v>150</v>
      </c>
      <c r="P12" t="s">
        <v>151</v>
      </c>
      <c r="Q12" t="s">
        <v>152</v>
      </c>
    </row>
    <row r="13" spans="2:19" hidden="1">
      <c r="B13" s="27">
        <f>B12-31121</f>
        <v>25624</v>
      </c>
      <c r="C13" s="36" t="s">
        <v>153</v>
      </c>
      <c r="D13">
        <v>677</v>
      </c>
      <c r="E13">
        <v>9.0024999999999995</v>
      </c>
      <c r="F13" s="50">
        <f>D13*E13</f>
        <v>6094.6925000000001</v>
      </c>
      <c r="G13" s="43">
        <v>10</v>
      </c>
      <c r="I13" s="29">
        <v>45470</v>
      </c>
      <c r="J13" s="29" t="s">
        <v>154</v>
      </c>
      <c r="K13" s="30">
        <f t="shared" ca="1" si="0"/>
        <v>-0.31506849315068491</v>
      </c>
      <c r="L13" s="30" t="s">
        <v>155</v>
      </c>
      <c r="Q13" t="s">
        <v>156</v>
      </c>
    </row>
    <row r="14" spans="2:19">
      <c r="C14" s="36" t="s">
        <v>157</v>
      </c>
      <c r="D14">
        <v>1514</v>
      </c>
      <c r="E14">
        <v>8.945411</v>
      </c>
      <c r="F14" s="50">
        <f>D14*E14</f>
        <v>13543.352253999999</v>
      </c>
      <c r="G14" s="43">
        <v>10</v>
      </c>
      <c r="I14" s="29">
        <v>45554</v>
      </c>
      <c r="J14" s="29" t="s">
        <v>154</v>
      </c>
      <c r="K14" s="30">
        <f t="shared" ca="1" si="0"/>
        <v>-8.4931506849315067E-2</v>
      </c>
      <c r="L14" s="30" t="s">
        <v>148</v>
      </c>
    </row>
    <row r="15" spans="2:19" hidden="1">
      <c r="C15" s="38" t="s">
        <v>158</v>
      </c>
      <c r="D15">
        <v>254</v>
      </c>
      <c r="E15">
        <v>9.4474269999999994</v>
      </c>
      <c r="F15" s="50">
        <f>D15*E15</f>
        <v>2399.6464579999997</v>
      </c>
      <c r="I15" s="29">
        <v>45372</v>
      </c>
      <c r="J15" t="s">
        <v>154</v>
      </c>
      <c r="K15" s="30">
        <f t="shared" ca="1" si="0"/>
        <v>-0.58356164383561648</v>
      </c>
      <c r="L15" s="30" t="s">
        <v>155</v>
      </c>
    </row>
    <row r="16" spans="2:19" hidden="1">
      <c r="C16" t="s">
        <v>159</v>
      </c>
      <c r="D16">
        <v>1002</v>
      </c>
      <c r="E16">
        <v>9.4788879999999995</v>
      </c>
      <c r="F16" s="50">
        <v>10000</v>
      </c>
      <c r="G16" s="47">
        <v>0.11310000000000001</v>
      </c>
      <c r="I16" s="29">
        <v>45442</v>
      </c>
      <c r="J16" t="s">
        <v>154</v>
      </c>
      <c r="K16" s="30">
        <f t="shared" ca="1" si="0"/>
        <v>-0.39178082191780822</v>
      </c>
      <c r="L16" t="s">
        <v>155</v>
      </c>
    </row>
    <row r="17" spans="3:13">
      <c r="C17" t="s">
        <v>160</v>
      </c>
      <c r="D17">
        <v>180</v>
      </c>
      <c r="E17">
        <v>8.9825909999999993</v>
      </c>
      <c r="F17" s="50">
        <v>1616.86</v>
      </c>
      <c r="I17" s="29">
        <v>45637</v>
      </c>
      <c r="J17" t="s">
        <v>154</v>
      </c>
      <c r="K17" s="30">
        <f t="shared" ca="1" si="0"/>
        <v>0.14246575342465753</v>
      </c>
      <c r="L17" t="s">
        <v>148</v>
      </c>
    </row>
    <row r="18" spans="3:13" hidden="1">
      <c r="F18" s="43">
        <f>SUM(F11:F17)</f>
        <v>64237.351212000001</v>
      </c>
      <c r="K18" s="30"/>
    </row>
    <row r="19" spans="3:13">
      <c r="K19" s="43"/>
    </row>
    <row r="20" spans="3:13">
      <c r="D20">
        <f>6000</f>
        <v>6000</v>
      </c>
      <c r="E20">
        <v>9.4557500000000001</v>
      </c>
      <c r="F20" s="43">
        <f>SUM(F11:F19)</f>
        <v>128474.702424</v>
      </c>
      <c r="G20" s="27">
        <f>D20*E20</f>
        <v>56734.5</v>
      </c>
      <c r="H20" s="43">
        <f>D20*F20</f>
        <v>770848214.54400003</v>
      </c>
    </row>
    <row r="21" spans="3:13">
      <c r="L21" s="52"/>
      <c r="M21" s="52"/>
    </row>
    <row r="22" spans="3:13">
      <c r="H22" s="52">
        <f>(H20/G20)-1</f>
        <v>13585.939420352695</v>
      </c>
      <c r="I22" s="43"/>
      <c r="L22" s="43"/>
    </row>
    <row r="23" spans="3:13">
      <c r="I23" s="43"/>
    </row>
    <row r="24" spans="3:13">
      <c r="G24" s="43">
        <f>G20-31121</f>
        <v>25613.5</v>
      </c>
      <c r="H24" s="43">
        <f>G24*1+H22</f>
        <v>39199.439420352697</v>
      </c>
      <c r="L24" s="27"/>
    </row>
    <row r="25" spans="3:13">
      <c r="G25" s="43">
        <f>31121*1.05756</f>
        <v>32912.324760000003</v>
      </c>
    </row>
    <row r="27" spans="3:13">
      <c r="J27" s="43"/>
    </row>
  </sheetData>
  <autoFilter ref="C10:L18" xr:uid="{2614031A-D066-4CC0-908E-0A39D810EFC1}">
    <filterColumn colId="9">
      <filters>
        <filter val="Retiro"/>
      </filters>
    </filterColumn>
  </autoFilter>
  <conditionalFormatting sqref="K16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{1509A325-6F7B-4DD9-A431-6F34A3291B79}</x14:id>
        </ext>
      </extLst>
    </cfRule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{2D32BF8E-5ED3-4B8B-B451-3DBF15C35EFF}</x14:id>
        </ext>
      </extLst>
    </cfRule>
  </conditionalFormatting>
  <conditionalFormatting sqref="K17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{7B8E134C-2C80-44C9-89FB-08B07D600286}</x14:id>
        </ext>
      </extLst>
    </cfRule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{E7930190-85A3-49E7-90A2-3496C61246A3}</x14:id>
        </ext>
      </extLst>
    </cfRule>
  </conditionalFormatting>
  <conditionalFormatting sqref="K18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{3CE4741C-D3FD-45C9-8F10-98F618BC92E4}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{71AFBB22-39D0-42EC-BEF5-0420048D926C}</x14:id>
        </ext>
      </extLst>
    </cfRule>
  </conditionalFormatting>
  <conditionalFormatting sqref="K11:L15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{956EB92F-B953-4838-BD98-497C74EE73A1}</x14:id>
        </ext>
      </extLst>
    </cfRule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{A48125BC-4DC4-4B75-9770-5CB6CC5846F5}</x14:id>
        </ext>
      </extLst>
    </cfRule>
  </conditionalFormatting>
  <pageMargins left="0.7" right="0.7" top="0.75" bottom="0.75" header="0.3" footer="0.3"/>
  <legacy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509A325-6F7B-4DD9-A431-6F34A3291B79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2D32BF8E-5ED3-4B8B-B451-3DBF15C35EF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K16</xm:sqref>
        </x14:conditionalFormatting>
        <x14:conditionalFormatting xmlns:xm="http://schemas.microsoft.com/office/excel/2006/main">
          <x14:cfRule type="dataBar" id="{7B8E134C-2C80-44C9-89FB-08B07D600286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E7930190-85A3-49E7-90A2-3496C61246A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K17</xm:sqref>
        </x14:conditionalFormatting>
        <x14:conditionalFormatting xmlns:xm="http://schemas.microsoft.com/office/excel/2006/main">
          <x14:cfRule type="dataBar" id="{3CE4741C-D3FD-45C9-8F10-98F618BC92E4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71AFBB22-39D0-42EC-BEF5-0420048D926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K18</xm:sqref>
        </x14:conditionalFormatting>
        <x14:conditionalFormatting xmlns:xm="http://schemas.microsoft.com/office/excel/2006/main">
          <x14:cfRule type="dataBar" id="{956EB92F-B953-4838-BD98-497C74EE73A1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A48125BC-4DC4-4B75-9770-5CB6CC5846F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K11:L15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24368-C748-42A3-AD9D-E553F4BBA821}">
  <dimension ref="A1:Y78"/>
  <sheetViews>
    <sheetView topLeftCell="C6" workbookViewId="0">
      <selection activeCell="C6" sqref="C6"/>
    </sheetView>
  </sheetViews>
  <sheetFormatPr defaultRowHeight="14.25"/>
  <cols>
    <col min="1" max="1" width="9" style="66"/>
    <col min="2" max="2" width="13.5" bestFit="1" customWidth="1"/>
    <col min="3" max="3" width="14.625" bestFit="1" customWidth="1"/>
    <col min="4" max="5" width="14.125" bestFit="1" customWidth="1"/>
    <col min="6" max="6" width="16.75" bestFit="1" customWidth="1"/>
    <col min="7" max="7" width="10.375" bestFit="1" customWidth="1"/>
    <col min="8" max="8" width="12.125" bestFit="1" customWidth="1"/>
    <col min="9" max="9" width="16.125" bestFit="1" customWidth="1"/>
    <col min="10" max="10" width="16.125" customWidth="1"/>
    <col min="11" max="12" width="19.5" bestFit="1" customWidth="1"/>
    <col min="13" max="13" width="28.5" bestFit="1" customWidth="1"/>
    <col min="14" max="14" width="18.125" bestFit="1" customWidth="1"/>
    <col min="15" max="15" width="11.875" bestFit="1" customWidth="1"/>
    <col min="16" max="16" width="7.125" bestFit="1" customWidth="1"/>
    <col min="18" max="18" width="10.375" bestFit="1" customWidth="1"/>
    <col min="19" max="19" width="15" bestFit="1" customWidth="1"/>
    <col min="20" max="20" width="10.375" bestFit="1" customWidth="1"/>
    <col min="21" max="21" width="12.125" bestFit="1" customWidth="1"/>
    <col min="23" max="23" width="16.625" bestFit="1" customWidth="1"/>
    <col min="24" max="24" width="18.125" bestFit="1" customWidth="1"/>
    <col min="25" max="25" width="21.5" bestFit="1" customWidth="1"/>
  </cols>
  <sheetData>
    <row r="1" spans="1:25" s="64" customFormat="1">
      <c r="A1" s="66"/>
    </row>
    <row r="2" spans="1:25" ht="15">
      <c r="B2" s="53" t="s">
        <v>161</v>
      </c>
      <c r="C2" s="55"/>
      <c r="D2" s="42" t="s">
        <v>162</v>
      </c>
    </row>
    <row r="3" spans="1:25" ht="15">
      <c r="B3" s="63" t="s">
        <v>163</v>
      </c>
      <c r="C3" s="55">
        <f>J25</f>
        <v>19547.615748293003</v>
      </c>
      <c r="D3" s="67">
        <f>C3/$C$7</f>
        <v>0.11030353523434146</v>
      </c>
    </row>
    <row r="4" spans="1:25" ht="15">
      <c r="B4" s="53" t="s">
        <v>164</v>
      </c>
      <c r="C4" s="55">
        <f>F56</f>
        <v>24721.9685322</v>
      </c>
      <c r="D4" s="67">
        <f>C4/$C$7</f>
        <v>0.13950143905872164</v>
      </c>
    </row>
    <row r="5" spans="1:25" ht="15">
      <c r="B5" s="53" t="s">
        <v>165</v>
      </c>
      <c r="C5" s="55">
        <f>F78</f>
        <v>30000</v>
      </c>
      <c r="D5" s="67">
        <f>C5/$C$7</f>
        <v>0.1692843822817221</v>
      </c>
    </row>
    <row r="6" spans="1:25" ht="15">
      <c r="B6" s="53" t="s">
        <v>166</v>
      </c>
      <c r="C6" s="55">
        <v>102947</v>
      </c>
      <c r="D6" s="67">
        <f>C6/$C$7</f>
        <v>0.58091064342521481</v>
      </c>
    </row>
    <row r="7" spans="1:25" ht="15">
      <c r="B7" s="53" t="s">
        <v>103</v>
      </c>
      <c r="C7" s="55">
        <f>SUM(C3:C6)</f>
        <v>177216.584280493</v>
      </c>
      <c r="D7" s="67">
        <f>C7/$C$7</f>
        <v>1</v>
      </c>
    </row>
    <row r="8" spans="1:25" ht="15">
      <c r="B8" s="53"/>
      <c r="C8" s="55"/>
    </row>
    <row r="10" spans="1:25" s="64" customFormat="1" ht="15">
      <c r="A10" s="66"/>
      <c r="B10" s="65" t="s">
        <v>163</v>
      </c>
    </row>
    <row r="11" spans="1:25">
      <c r="C11" s="29"/>
    </row>
    <row r="12" spans="1:25" ht="15">
      <c r="C12" s="31" t="s">
        <v>134</v>
      </c>
      <c r="N12" s="69"/>
    </row>
    <row r="13" spans="1:25" ht="15">
      <c r="B13" s="32"/>
      <c r="C13" s="32" t="s">
        <v>135</v>
      </c>
      <c r="D13" s="33" t="s">
        <v>136</v>
      </c>
      <c r="E13" s="33" t="s">
        <v>137</v>
      </c>
      <c r="F13" s="33" t="s">
        <v>138</v>
      </c>
      <c r="G13" s="33" t="s">
        <v>139</v>
      </c>
      <c r="H13" s="33" t="s">
        <v>140</v>
      </c>
      <c r="I13" s="33" t="s">
        <v>141</v>
      </c>
      <c r="J13" t="s">
        <v>167</v>
      </c>
      <c r="K13" s="33" t="s">
        <v>142</v>
      </c>
      <c r="L13" s="34" t="s">
        <v>143</v>
      </c>
      <c r="M13" s="31" t="s">
        <v>144</v>
      </c>
      <c r="N13" s="78"/>
      <c r="O13" s="78"/>
      <c r="P13" s="78"/>
      <c r="Q13" s="78"/>
      <c r="R13" s="78"/>
      <c r="S13" s="78"/>
      <c r="T13" s="78"/>
      <c r="U13" s="78"/>
      <c r="V13" s="79"/>
      <c r="W13" s="79"/>
      <c r="X13" s="80"/>
      <c r="Y13" s="79"/>
    </row>
    <row r="14" spans="1:25">
      <c r="C14" s="36" t="s">
        <v>153</v>
      </c>
      <c r="D14">
        <v>677</v>
      </c>
      <c r="E14">
        <v>9.0024999999999995</v>
      </c>
      <c r="F14" s="50">
        <v>6094.6925000000001</v>
      </c>
      <c r="G14" s="47">
        <v>0.114</v>
      </c>
      <c r="H14" s="43">
        <v>10</v>
      </c>
      <c r="I14" s="29">
        <v>45470</v>
      </c>
      <c r="J14" s="43">
        <f>F14*(1+G14/2)</f>
        <v>6442.0899724999999</v>
      </c>
      <c r="K14" s="29" t="s">
        <v>154</v>
      </c>
      <c r="L14" s="30">
        <v>0.16164383561643836</v>
      </c>
      <c r="M14" s="30" t="s">
        <v>155</v>
      </c>
      <c r="N14" s="71"/>
      <c r="O14" s="72"/>
      <c r="P14" s="70"/>
      <c r="Q14" s="70"/>
      <c r="R14" s="73"/>
      <c r="S14" s="70"/>
      <c r="T14" s="73"/>
      <c r="U14" s="71"/>
      <c r="V14" s="71"/>
      <c r="W14" s="74"/>
      <c r="X14" s="70"/>
      <c r="Y14" s="75"/>
    </row>
    <row r="15" spans="1:25" s="83" customFormat="1">
      <c r="A15" s="82"/>
      <c r="C15" s="84"/>
      <c r="F15" s="85"/>
      <c r="G15" s="86"/>
      <c r="H15" s="87"/>
      <c r="I15" s="88"/>
      <c r="J15" s="87"/>
      <c r="L15" s="89"/>
      <c r="M15" s="89"/>
    </row>
    <row r="16" spans="1:25">
      <c r="C16" t="s">
        <v>159</v>
      </c>
      <c r="D16">
        <v>1002</v>
      </c>
      <c r="E16">
        <v>9.4788879999999995</v>
      </c>
      <c r="F16" s="50">
        <v>10000</v>
      </c>
      <c r="G16" s="47">
        <v>0.11310000000000001</v>
      </c>
      <c r="H16" s="43">
        <v>10</v>
      </c>
      <c r="I16" s="29">
        <v>45442</v>
      </c>
      <c r="J16" s="43">
        <f>F16*(1+G16/2)</f>
        <v>10565.500000000002</v>
      </c>
      <c r="K16" t="s">
        <v>154</v>
      </c>
      <c r="L16" s="30">
        <v>8.4931506849315067E-2</v>
      </c>
      <c r="M16" t="s">
        <v>155</v>
      </c>
    </row>
    <row r="17" spans="1:13">
      <c r="F17" s="55"/>
      <c r="H17" s="81">
        <f>(10-9.447427)/9.447*2</f>
        <v>0.11698380438234375</v>
      </c>
      <c r="I17" s="29"/>
      <c r="J17" s="29"/>
      <c r="L17" s="30"/>
    </row>
    <row r="18" spans="1:13">
      <c r="F18" s="55"/>
      <c r="H18" s="55"/>
      <c r="I18" s="29"/>
      <c r="J18" s="29"/>
      <c r="L18" s="30"/>
    </row>
    <row r="19" spans="1:13">
      <c r="F19" s="55"/>
      <c r="H19" s="55"/>
      <c r="I19" s="29"/>
      <c r="J19" s="29"/>
      <c r="L19" s="30"/>
    </row>
    <row r="20" spans="1:13">
      <c r="F20" s="55"/>
      <c r="H20" s="55"/>
      <c r="I20" s="29"/>
      <c r="J20" s="29"/>
      <c r="L20" s="30"/>
    </row>
    <row r="21" spans="1:13">
      <c r="F21" s="68"/>
      <c r="H21" s="55"/>
    </row>
    <row r="23" spans="1:13">
      <c r="F23" s="55"/>
    </row>
    <row r="25" spans="1:13" s="91" customFormat="1" ht="15">
      <c r="A25" s="90"/>
      <c r="B25" s="91" t="s">
        <v>168</v>
      </c>
      <c r="F25" s="94">
        <f>SUM(F14:F24)+'Posiciones cerradas inversiones'!F20</f>
        <v>18494.338958</v>
      </c>
      <c r="J25" s="94">
        <f>SUM(J14:J24)+'Posiciones cerradas inversiones'!J20</f>
        <v>19547.615748293003</v>
      </c>
    </row>
    <row r="26" spans="1:13" s="64" customFormat="1" ht="15">
      <c r="A26" s="66"/>
      <c r="B26" s="65" t="s">
        <v>164</v>
      </c>
    </row>
    <row r="27" spans="1:13">
      <c r="B27" t="s">
        <v>124</v>
      </c>
      <c r="C27" s="29">
        <f ca="1">TODAY()</f>
        <v>45585</v>
      </c>
    </row>
    <row r="28" spans="1:13">
      <c r="B28" t="s">
        <v>169</v>
      </c>
      <c r="C28" s="29">
        <v>45294</v>
      </c>
    </row>
    <row r="29" spans="1:13" ht="15">
      <c r="B29" s="32" t="s">
        <v>170</v>
      </c>
      <c r="C29" s="32" t="s">
        <v>135</v>
      </c>
      <c r="D29" s="33" t="s">
        <v>136</v>
      </c>
      <c r="E29" s="33" t="s">
        <v>137</v>
      </c>
      <c r="F29" s="33" t="s">
        <v>171</v>
      </c>
      <c r="G29" s="33" t="s">
        <v>172</v>
      </c>
      <c r="H29" s="33" t="s">
        <v>173</v>
      </c>
      <c r="I29" s="33" t="s">
        <v>174</v>
      </c>
      <c r="J29" s="33" t="s">
        <v>175</v>
      </c>
      <c r="K29" s="33" t="s">
        <v>142</v>
      </c>
      <c r="L29" s="34" t="s">
        <v>176</v>
      </c>
      <c r="M29" t="s">
        <v>177</v>
      </c>
    </row>
    <row r="30" spans="1:13" ht="15">
      <c r="A30" s="66">
        <v>1</v>
      </c>
      <c r="B30" s="31"/>
      <c r="C30" s="31" t="s">
        <v>178</v>
      </c>
      <c r="D30" s="31">
        <v>3</v>
      </c>
      <c r="E30" s="76">
        <v>397.54</v>
      </c>
      <c r="F30" s="76">
        <f>E30*D30</f>
        <v>1192.6200000000001</v>
      </c>
      <c r="G30" s="31">
        <v>607.38</v>
      </c>
      <c r="H30" s="77">
        <f>(G30-E30)/E30</f>
        <v>0.52784625446495936</v>
      </c>
      <c r="I30" s="31">
        <f>D30*G30</f>
        <v>1822.1399999999999</v>
      </c>
      <c r="J30" s="76">
        <f>I30-F30</f>
        <v>629.51999999999975</v>
      </c>
      <c r="K30" s="31" t="s">
        <v>147</v>
      </c>
      <c r="L30" s="77">
        <f>I30/$I$56</f>
        <v>6.9158299610815183E-2</v>
      </c>
    </row>
    <row r="31" spans="1:13" ht="15">
      <c r="A31" s="66">
        <v>2</v>
      </c>
      <c r="B31" s="31"/>
      <c r="C31" s="31" t="s">
        <v>179</v>
      </c>
      <c r="D31" s="31">
        <v>630</v>
      </c>
      <c r="E31" s="31">
        <v>0.91</v>
      </c>
      <c r="F31" s="76">
        <f>E31*D31</f>
        <v>573.30000000000007</v>
      </c>
      <c r="G31" s="31">
        <v>0.90800000000000003</v>
      </c>
      <c r="H31" s="77">
        <f>(G31-E31)/E31</f>
        <v>-2.1978021978021995E-3</v>
      </c>
      <c r="I31" s="31">
        <f>D31*G31</f>
        <v>572.04</v>
      </c>
      <c r="J31" s="76">
        <f>I31-F31</f>
        <v>-1.2600000000001046</v>
      </c>
      <c r="K31" s="31" t="s">
        <v>147</v>
      </c>
      <c r="L31" s="77">
        <f>I31/$I$56</f>
        <v>2.1711456698920346E-2</v>
      </c>
      <c r="M31" s="36" t="s">
        <v>180</v>
      </c>
    </row>
    <row r="32" spans="1:13" ht="15">
      <c r="A32" s="66">
        <v>3</v>
      </c>
      <c r="B32" s="31"/>
      <c r="C32" s="31" t="s">
        <v>181</v>
      </c>
      <c r="D32" s="31">
        <v>1</v>
      </c>
      <c r="E32" s="31">
        <v>1303.8</v>
      </c>
      <c r="F32" s="76">
        <f>E32*D32</f>
        <v>1303.8</v>
      </c>
      <c r="G32" s="31">
        <v>1295.1500000000001</v>
      </c>
      <c r="H32" s="77">
        <f>(G32-E32)/E32</f>
        <v>-6.6344531369840953E-3</v>
      </c>
      <c r="I32" s="31">
        <f>D32*G32</f>
        <v>1295.1500000000001</v>
      </c>
      <c r="J32" s="76">
        <f>I32-F32</f>
        <v>-8.6499999999998636</v>
      </c>
      <c r="K32" s="31" t="s">
        <v>147</v>
      </c>
      <c r="L32" s="77">
        <f>I32/$I$56</f>
        <v>4.9156690342645075E-2</v>
      </c>
    </row>
    <row r="33" spans="1:12" ht="15">
      <c r="A33" s="66">
        <v>4</v>
      </c>
      <c r="B33" s="31"/>
      <c r="C33" s="31" t="s">
        <v>182</v>
      </c>
      <c r="D33" s="31">
        <v>36</v>
      </c>
      <c r="E33" s="31">
        <v>168.87772219999999</v>
      </c>
      <c r="F33" s="76">
        <f>E33*D33</f>
        <v>6079.5979991999993</v>
      </c>
      <c r="G33" s="31">
        <v>172.18</v>
      </c>
      <c r="H33" s="77">
        <f>(G33-E33)/E33</f>
        <v>1.9554253556837785E-2</v>
      </c>
      <c r="I33" s="31">
        <f>D33*G33</f>
        <v>6198.4800000000005</v>
      </c>
      <c r="J33" s="76">
        <f>I33-F33</f>
        <v>118.88200080000115</v>
      </c>
      <c r="K33" s="31" t="s">
        <v>147</v>
      </c>
      <c r="L33" s="77">
        <f>I33/$I$56</f>
        <v>0.2352598246960419</v>
      </c>
    </row>
    <row r="34" spans="1:12" ht="15">
      <c r="A34" s="66">
        <v>5</v>
      </c>
      <c r="B34" s="31"/>
      <c r="C34" s="31" t="s">
        <v>183</v>
      </c>
      <c r="D34" s="31">
        <v>1323</v>
      </c>
      <c r="E34" s="31">
        <v>4.2042710000000003</v>
      </c>
      <c r="F34" s="76">
        <f>E34*D34</f>
        <v>5562.2505330000004</v>
      </c>
      <c r="G34" s="31">
        <v>4.49</v>
      </c>
      <c r="H34" s="77">
        <f>(G34-E34)/E34</f>
        <v>6.7961603807176058E-2</v>
      </c>
      <c r="I34" s="31">
        <f>D34*G34</f>
        <v>5940.27</v>
      </c>
      <c r="J34" s="76">
        <f>I34-F34</f>
        <v>378.01946700000008</v>
      </c>
      <c r="K34" s="31" t="s">
        <v>147</v>
      </c>
      <c r="L34" s="77">
        <f>I34/$I$56</f>
        <v>0.22545960926665196</v>
      </c>
    </row>
    <row r="35" spans="1:12" ht="15">
      <c r="A35" s="66">
        <v>6</v>
      </c>
      <c r="B35" s="31"/>
      <c r="C35" s="31" t="s">
        <v>184</v>
      </c>
      <c r="D35" s="31">
        <v>100</v>
      </c>
      <c r="E35" s="31">
        <v>13.58</v>
      </c>
      <c r="F35" s="76">
        <f>E35*D35</f>
        <v>1358</v>
      </c>
      <c r="G35" s="31">
        <v>14.04</v>
      </c>
      <c r="H35" s="77">
        <f>(G35-E35)/E35</f>
        <v>3.3873343151693602E-2</v>
      </c>
      <c r="I35" s="31">
        <f>D35*G35</f>
        <v>1404</v>
      </c>
      <c r="J35" s="76">
        <f>I35-F35</f>
        <v>46</v>
      </c>
      <c r="K35" s="31" t="s">
        <v>147</v>
      </c>
      <c r="L35" s="77">
        <f>I35/$I$56</f>
        <v>5.3288030916166997E-2</v>
      </c>
    </row>
    <row r="36" spans="1:12" ht="15">
      <c r="A36" s="66">
        <v>7</v>
      </c>
      <c r="B36" s="31"/>
      <c r="C36" s="31" t="s">
        <v>185</v>
      </c>
      <c r="D36" s="31">
        <v>20</v>
      </c>
      <c r="E36" s="31">
        <v>13.94</v>
      </c>
      <c r="F36" s="76">
        <f>E36*D36</f>
        <v>278.8</v>
      </c>
      <c r="G36" s="31">
        <v>16.68</v>
      </c>
      <c r="H36" s="77">
        <f>(G36-E36)/E36</f>
        <v>0.19655667144906747</v>
      </c>
      <c r="I36" s="31">
        <f>D36*G36</f>
        <v>333.6</v>
      </c>
      <c r="J36" s="76">
        <f>I36-F36</f>
        <v>54.800000000000011</v>
      </c>
      <c r="K36" s="31" t="s">
        <v>147</v>
      </c>
      <c r="L36" s="77">
        <f>I36/$I$56</f>
        <v>1.2661600508285834E-2</v>
      </c>
    </row>
    <row r="37" spans="1:12" ht="15">
      <c r="A37" s="66">
        <v>8</v>
      </c>
      <c r="B37" s="31"/>
      <c r="C37" s="31" t="s">
        <v>186</v>
      </c>
      <c r="D37" s="31">
        <v>10</v>
      </c>
      <c r="E37" s="31">
        <v>138.82</v>
      </c>
      <c r="F37" s="76">
        <f>E37*D37</f>
        <v>1388.1999999999998</v>
      </c>
      <c r="G37" s="31">
        <v>137.12</v>
      </c>
      <c r="H37" s="77">
        <f>(G37-E37)/E37</f>
        <v>-1.2246074052730073E-2</v>
      </c>
      <c r="I37" s="31">
        <f>D37*G37</f>
        <v>1371.2</v>
      </c>
      <c r="J37" s="76">
        <f>I37-F37</f>
        <v>-16.999999999999773</v>
      </c>
      <c r="K37" s="31" t="s">
        <v>147</v>
      </c>
      <c r="L37" s="77">
        <f>I37/$I$56</f>
        <v>5.2043125350604118E-2</v>
      </c>
    </row>
    <row r="38" spans="1:12" ht="15">
      <c r="A38" s="66">
        <v>9</v>
      </c>
      <c r="B38" s="31"/>
      <c r="C38" s="31" t="s">
        <v>187</v>
      </c>
      <c r="D38" s="31">
        <v>1</v>
      </c>
      <c r="E38" s="31">
        <v>42</v>
      </c>
      <c r="F38" s="76">
        <f>E38*D38</f>
        <v>42</v>
      </c>
      <c r="G38" s="31">
        <v>40.799999999999997</v>
      </c>
      <c r="H38" s="77">
        <f>(G38-E38)/E38</f>
        <v>-2.857142857142864E-2</v>
      </c>
      <c r="I38" s="31">
        <f>D38*G38</f>
        <v>40.799999999999997</v>
      </c>
      <c r="J38" s="76">
        <f>I38-F38</f>
        <v>-1.2000000000000028</v>
      </c>
      <c r="K38" s="31" t="s">
        <v>147</v>
      </c>
      <c r="L38" s="77">
        <f>I38/$I$56</f>
        <v>1.548541069358699E-3</v>
      </c>
    </row>
    <row r="39" spans="1:12" ht="15">
      <c r="A39" s="66">
        <v>10</v>
      </c>
      <c r="B39" s="31"/>
      <c r="C39" s="31" t="s">
        <v>188</v>
      </c>
      <c r="D39" s="31">
        <v>50</v>
      </c>
      <c r="E39" s="31">
        <v>46.99</v>
      </c>
      <c r="F39" s="76">
        <f>E39*D39</f>
        <v>2349.5</v>
      </c>
      <c r="G39" s="31">
        <v>50.83</v>
      </c>
      <c r="H39" s="77">
        <f>(G39-E39)/E39</f>
        <v>8.1719514790380851E-2</v>
      </c>
      <c r="I39" s="31">
        <f>D39*G39</f>
        <v>2541.5</v>
      </c>
      <c r="J39" s="76">
        <f>I39-F39</f>
        <v>192</v>
      </c>
      <c r="K39" s="31" t="s">
        <v>147</v>
      </c>
      <c r="L39" s="77">
        <f>I39/$I$56</f>
        <v>9.6461204112135629E-2</v>
      </c>
    </row>
    <row r="40" spans="1:12" ht="15">
      <c r="A40" s="66">
        <v>11</v>
      </c>
      <c r="B40" s="31"/>
      <c r="C40" s="31" t="s">
        <v>189</v>
      </c>
      <c r="D40" s="31">
        <v>10</v>
      </c>
      <c r="E40" s="31">
        <v>52.09</v>
      </c>
      <c r="F40" s="76">
        <f>E40*D40</f>
        <v>520.90000000000009</v>
      </c>
      <c r="G40" s="31">
        <v>57.58</v>
      </c>
      <c r="H40" s="77">
        <f>(G40-E40)/E40</f>
        <v>0.10539450950278353</v>
      </c>
      <c r="I40" s="31">
        <f>D40*G40</f>
        <v>575.79999999999995</v>
      </c>
      <c r="J40" s="76">
        <f>I40-F40</f>
        <v>54.899999999999864</v>
      </c>
      <c r="K40" s="31" t="s">
        <v>147</v>
      </c>
      <c r="L40" s="77">
        <f>I40/$I$56</f>
        <v>2.1854165385704383E-2</v>
      </c>
    </row>
    <row r="41" spans="1:12" ht="15">
      <c r="A41" s="66">
        <v>13</v>
      </c>
      <c r="B41" s="31"/>
      <c r="C41" s="31" t="s">
        <v>190</v>
      </c>
      <c r="D41" s="31">
        <v>100</v>
      </c>
      <c r="E41" s="31">
        <v>11.21</v>
      </c>
      <c r="F41" s="76">
        <f>E41*D41</f>
        <v>1121</v>
      </c>
      <c r="G41" s="31">
        <v>10.7</v>
      </c>
      <c r="H41" s="77">
        <f>(G41-E41)/E41</f>
        <v>-4.5495093666369446E-2</v>
      </c>
      <c r="I41" s="31">
        <f>D41*G41</f>
        <v>1070</v>
      </c>
      <c r="J41" s="76">
        <f>I41-F41</f>
        <v>-51</v>
      </c>
      <c r="K41" s="31" t="s">
        <v>147</v>
      </c>
      <c r="L41" s="77">
        <f>I41/$I$56</f>
        <v>4.0611248632691367E-2</v>
      </c>
    </row>
    <row r="42" spans="1:12" ht="15">
      <c r="A42" s="66">
        <v>13</v>
      </c>
      <c r="B42" s="31"/>
      <c r="C42" s="31" t="s">
        <v>191</v>
      </c>
      <c r="D42" s="31">
        <v>1</v>
      </c>
      <c r="E42" s="31">
        <f>2622</f>
        <v>2622</v>
      </c>
      <c r="F42" s="31">
        <f>D42*E42</f>
        <v>2622</v>
      </c>
      <c r="G42" s="31">
        <v>2844.4</v>
      </c>
      <c r="H42" s="77">
        <f>(G42-E42)/E42</f>
        <v>8.4820747520976389E-2</v>
      </c>
      <c r="I42" s="31">
        <f>D42*G42</f>
        <v>2844.4</v>
      </c>
      <c r="J42" s="76">
        <f>I42-F42</f>
        <v>222.40000000000009</v>
      </c>
      <c r="K42" s="31" t="s">
        <v>147</v>
      </c>
      <c r="L42" s="77">
        <f>I42/$I$56</f>
        <v>0.10795760337460499</v>
      </c>
    </row>
    <row r="43" spans="1:12" ht="15">
      <c r="A43" s="66">
        <v>14</v>
      </c>
      <c r="B43" s="31"/>
      <c r="C43" s="31" t="s">
        <v>192</v>
      </c>
      <c r="D43" s="31">
        <v>10</v>
      </c>
      <c r="E43" s="31">
        <v>33</v>
      </c>
      <c r="F43" s="31">
        <f>D43*E43</f>
        <v>330</v>
      </c>
      <c r="G43" s="31">
        <v>33.799999999999997</v>
      </c>
      <c r="H43" s="77">
        <f>(G43-E43)/E43</f>
        <v>2.4242424242424156E-2</v>
      </c>
      <c r="I43" s="31">
        <f>D43*G43</f>
        <v>338</v>
      </c>
      <c r="J43" s="76">
        <f>I43-F43</f>
        <v>8</v>
      </c>
      <c r="K43" s="31" t="s">
        <v>147</v>
      </c>
      <c r="L43" s="77"/>
    </row>
    <row r="44" spans="1:12" ht="15">
      <c r="B44" s="31"/>
      <c r="C44" s="31"/>
      <c r="D44" s="31"/>
      <c r="E44" s="31"/>
      <c r="F44" s="31"/>
      <c r="G44" s="31"/>
      <c r="H44" s="77"/>
      <c r="I44" s="31"/>
      <c r="J44" s="76"/>
      <c r="K44" s="31"/>
      <c r="L44" s="77"/>
    </row>
    <row r="45" spans="1:12" ht="15">
      <c r="B45" s="31"/>
      <c r="C45" s="31"/>
      <c r="D45" s="31"/>
      <c r="E45" s="31"/>
      <c r="F45" s="31"/>
      <c r="G45" s="31"/>
      <c r="H45" s="77"/>
      <c r="I45" s="31"/>
      <c r="J45" s="76"/>
      <c r="K45" s="31"/>
      <c r="L45" s="77"/>
    </row>
    <row r="46" spans="1:12" ht="15">
      <c r="B46" s="31"/>
      <c r="C46" s="31"/>
      <c r="D46" s="31"/>
      <c r="E46" s="31"/>
      <c r="F46" s="31"/>
      <c r="G46" s="31"/>
      <c r="H46" s="77"/>
      <c r="I46" s="31"/>
      <c r="J46" s="76"/>
      <c r="K46" s="31"/>
      <c r="L46" s="77"/>
    </row>
    <row r="47" spans="1:12" ht="15">
      <c r="B47" s="31"/>
      <c r="C47" s="31"/>
      <c r="D47" s="31"/>
      <c r="E47" s="31"/>
      <c r="F47" s="31"/>
      <c r="G47" s="31"/>
      <c r="H47" s="77"/>
      <c r="I47" s="31"/>
      <c r="J47" s="76"/>
      <c r="K47" s="31"/>
      <c r="L47" s="77"/>
    </row>
    <row r="48" spans="1:12" ht="15">
      <c r="B48" s="31"/>
      <c r="C48" s="31"/>
      <c r="D48" s="31"/>
      <c r="E48" s="31"/>
      <c r="F48" s="31"/>
      <c r="G48" s="31"/>
      <c r="H48" s="77"/>
      <c r="I48" s="31"/>
      <c r="J48" s="76"/>
      <c r="K48" s="31"/>
      <c r="L48" s="77"/>
    </row>
    <row r="49" spans="1:12" ht="15">
      <c r="B49" s="31"/>
      <c r="C49" s="31"/>
      <c r="D49" s="31"/>
      <c r="E49" s="31"/>
      <c r="F49" s="31"/>
      <c r="G49" s="31"/>
      <c r="H49" s="77"/>
      <c r="I49" s="31"/>
      <c r="J49" s="76"/>
      <c r="K49" s="31"/>
      <c r="L49" s="77"/>
    </row>
    <row r="50" spans="1:12" ht="15">
      <c r="B50" s="31"/>
      <c r="C50" s="31"/>
      <c r="D50" s="31"/>
      <c r="E50" s="31"/>
      <c r="F50" s="31"/>
      <c r="G50" s="31"/>
      <c r="H50" s="77"/>
      <c r="I50" s="31"/>
      <c r="J50" s="76"/>
      <c r="K50" s="31"/>
      <c r="L50" s="77"/>
    </row>
    <row r="51" spans="1:12" ht="15">
      <c r="B51" s="31"/>
      <c r="C51" s="31"/>
      <c r="D51" s="31"/>
      <c r="E51" s="31"/>
      <c r="F51" s="31"/>
      <c r="G51" s="31"/>
      <c r="H51" s="77"/>
      <c r="I51" s="31"/>
      <c r="J51" s="76"/>
      <c r="K51" s="31"/>
      <c r="L51" s="77"/>
    </row>
    <row r="52" spans="1:12" ht="15">
      <c r="B52" s="31"/>
      <c r="C52" s="31"/>
      <c r="D52" s="31"/>
      <c r="E52" s="31"/>
      <c r="F52" s="31"/>
      <c r="G52" s="31"/>
      <c r="H52" s="77"/>
      <c r="I52" s="31"/>
      <c r="J52" s="76"/>
      <c r="K52" s="31"/>
      <c r="L52" s="77"/>
    </row>
    <row r="53" spans="1:12" ht="15">
      <c r="B53" s="31"/>
      <c r="C53" s="31"/>
      <c r="D53" s="31"/>
      <c r="E53" s="31"/>
      <c r="F53" s="31"/>
      <c r="G53" s="31"/>
      <c r="H53" s="77"/>
      <c r="I53" s="31"/>
      <c r="J53" s="76"/>
      <c r="K53" s="31"/>
      <c r="L53" s="77"/>
    </row>
    <row r="54" spans="1:12" ht="15">
      <c r="B54" s="31"/>
      <c r="C54" s="31"/>
      <c r="D54" s="31"/>
      <c r="E54" s="31"/>
      <c r="F54" s="31"/>
      <c r="G54" s="31"/>
      <c r="H54" s="77"/>
      <c r="I54" s="31"/>
      <c r="J54" s="76"/>
      <c r="K54" s="31"/>
      <c r="L54" s="77"/>
    </row>
    <row r="55" spans="1:12" ht="15"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</row>
    <row r="56" spans="1:12" s="91" customFormat="1" ht="15">
      <c r="A56" s="90"/>
      <c r="C56" s="91" t="s">
        <v>103</v>
      </c>
      <c r="F56" s="92">
        <f>SUM(F30:F55)</f>
        <v>24721.9685322</v>
      </c>
      <c r="H56" s="93">
        <f>(I56-F56)/F56</f>
        <v>6.5747655397381727E-2</v>
      </c>
      <c r="I56" s="92">
        <f>SUM(I30:I55)</f>
        <v>26347.38</v>
      </c>
      <c r="L56" s="95">
        <f>SUM(L30:L55)</f>
        <v>0.98717139996462644</v>
      </c>
    </row>
    <row r="57" spans="1:12">
      <c r="J57" s="55"/>
    </row>
    <row r="58" spans="1:12">
      <c r="J58" s="55"/>
    </row>
    <row r="59" spans="1:12">
      <c r="J59" s="55"/>
    </row>
    <row r="66" spans="1:12" s="64" customFormat="1">
      <c r="A66" s="66"/>
      <c r="B66" s="64" t="s">
        <v>165</v>
      </c>
    </row>
    <row r="68" spans="1:12" ht="15">
      <c r="B68" s="32" t="s">
        <v>170</v>
      </c>
      <c r="C68" s="32" t="s">
        <v>135</v>
      </c>
      <c r="D68" s="33" t="s">
        <v>136</v>
      </c>
      <c r="E68" s="33" t="s">
        <v>137</v>
      </c>
      <c r="F68" s="33" t="s">
        <v>171</v>
      </c>
      <c r="G68" s="33" t="s">
        <v>172</v>
      </c>
      <c r="H68" s="33" t="s">
        <v>173</v>
      </c>
      <c r="I68" s="33" t="s">
        <v>174</v>
      </c>
      <c r="J68" s="33" t="s">
        <v>175</v>
      </c>
      <c r="K68" s="33" t="s">
        <v>142</v>
      </c>
      <c r="L68" s="34" t="s">
        <v>176</v>
      </c>
    </row>
    <row r="69" spans="1:12">
      <c r="B69" s="29">
        <v>45292</v>
      </c>
      <c r="C69" t="s">
        <v>193</v>
      </c>
      <c r="D69">
        <v>300</v>
      </c>
      <c r="E69">
        <v>100</v>
      </c>
      <c r="F69" s="55">
        <f>D69*E69</f>
        <v>30000</v>
      </c>
      <c r="G69">
        <v>105.0013</v>
      </c>
      <c r="H69" s="47">
        <f>(G69-E69)/E69</f>
        <v>5.0013000000000002E-2</v>
      </c>
      <c r="I69">
        <f>D69*G69</f>
        <v>31500.39</v>
      </c>
      <c r="K69" t="s">
        <v>147</v>
      </c>
      <c r="L69" s="36" t="s">
        <v>194</v>
      </c>
    </row>
    <row r="70" spans="1:12">
      <c r="B70" s="29"/>
    </row>
    <row r="78" spans="1:12" s="91" customFormat="1" ht="15">
      <c r="A78" s="90"/>
      <c r="B78" s="91" t="s">
        <v>168</v>
      </c>
      <c r="F78" s="92">
        <f>SUM(F69:F77)</f>
        <v>30000</v>
      </c>
      <c r="I78" s="96">
        <f>SUM(I69:I77)</f>
        <v>31500.39</v>
      </c>
    </row>
  </sheetData>
  <conditionalFormatting sqref="W14">
    <cfRule type="dataBar" priority="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{E8BA043D-2EDD-4D91-BBF8-288A885B8735}</x14:id>
        </ext>
      </extLst>
    </cfRule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{F11BFE40-46D1-4CE3-8BBC-A117B8B1BB07}</x14:id>
        </ext>
      </extLst>
    </cfRule>
  </conditionalFormatting>
  <conditionalFormatting sqref="L17:L20">
    <cfRule type="dataBar" priority="17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{CE97C8BE-EBAF-41BE-B434-E3EA66206825}</x14:id>
        </ext>
      </extLst>
    </cfRule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{6A0AE080-CB03-4B98-B47C-EF466B42F7E7}</x14:id>
        </ext>
      </extLst>
    </cfRule>
  </conditionalFormatting>
  <conditionalFormatting sqref="L30:L54">
    <cfRule type="dataBar" priority="6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{A3F30A69-7D4D-4573-A434-91F0805B4752}</x14:id>
        </ext>
      </extLst>
    </cfRule>
  </conditionalFormatting>
  <conditionalFormatting sqref="H30:H54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14:M15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{9775A11B-D2E4-4D13-8DBA-C91B53C3D542}</x14:id>
        </ext>
      </extLst>
    </cfRule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{33052FBE-2785-4C9A-9EA3-53FDE9A88576}</x14:id>
        </ext>
      </extLst>
    </cfRule>
  </conditionalFormatting>
  <conditionalFormatting sqref="L16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{CED13F1F-13E8-4152-B7B0-A9C2E35635F7}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{DBB48724-7C1E-4C01-9483-BDD663E8C104}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BA043D-2EDD-4D91-BBF8-288A885B873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F11BFE40-46D1-4CE3-8BBC-A117B8B1BB0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CE97C8BE-EBAF-41BE-B434-E3EA66206825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6A0AE080-CB03-4B98-B47C-EF466B42F7E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L17:L20</xm:sqref>
        </x14:conditionalFormatting>
        <x14:conditionalFormatting xmlns:xm="http://schemas.microsoft.com/office/excel/2006/main">
          <x14:cfRule type="dataBar" id="{A3F30A69-7D4D-4573-A434-91F0805B4752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L30:L54</xm:sqref>
        </x14:conditionalFormatting>
        <x14:conditionalFormatting xmlns:xm="http://schemas.microsoft.com/office/excel/2006/main">
          <x14:cfRule type="dataBar" id="{9775A11B-D2E4-4D13-8DBA-C91B53C3D542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33052FBE-2785-4C9A-9EA3-53FDE9A8857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L14:M15</xm:sqref>
        </x14:conditionalFormatting>
        <x14:conditionalFormatting xmlns:xm="http://schemas.microsoft.com/office/excel/2006/main">
          <x14:cfRule type="dataBar" id="{CED13F1F-13E8-4152-B7B0-A9C2E35635F7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DBB48724-7C1E-4C01-9483-BDD663E8C10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L16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08667E-03B7-455A-B58B-1285BAB201FB}">
  <dimension ref="B10:M20"/>
  <sheetViews>
    <sheetView workbookViewId="0">
      <selection activeCell="A16" sqref="A16"/>
    </sheetView>
  </sheetViews>
  <sheetFormatPr defaultRowHeight="14.25"/>
  <cols>
    <col min="2" max="2" width="16.25" bestFit="1" customWidth="1"/>
    <col min="4" max="4" width="7.125" bestFit="1" customWidth="1"/>
    <col min="6" max="6" width="10.375" bestFit="1" customWidth="1"/>
    <col min="9" max="9" width="12.125" bestFit="1" customWidth="1"/>
    <col min="10" max="10" width="10.75" bestFit="1" customWidth="1"/>
    <col min="12" max="12" width="19.5" bestFit="1" customWidth="1"/>
  </cols>
  <sheetData>
    <row r="10" spans="2:13">
      <c r="C10" t="s">
        <v>163</v>
      </c>
    </row>
    <row r="11" spans="2:13">
      <c r="C11" s="69" t="s">
        <v>195</v>
      </c>
      <c r="D11" s="36"/>
    </row>
    <row r="12" spans="2:13" ht="15">
      <c r="B12" t="s">
        <v>196</v>
      </c>
      <c r="C12" s="32" t="s">
        <v>135</v>
      </c>
      <c r="D12" s="33" t="s">
        <v>136</v>
      </c>
      <c r="E12" s="33" t="s">
        <v>137</v>
      </c>
      <c r="F12" s="33" t="s">
        <v>138</v>
      </c>
      <c r="G12" s="33" t="s">
        <v>139</v>
      </c>
      <c r="H12" s="33" t="s">
        <v>140</v>
      </c>
      <c r="I12" s="33" t="s">
        <v>141</v>
      </c>
      <c r="J12" t="s">
        <v>167</v>
      </c>
      <c r="K12" s="33" t="s">
        <v>142</v>
      </c>
      <c r="L12" s="34" t="s">
        <v>197</v>
      </c>
      <c r="M12" s="34" t="s">
        <v>198</v>
      </c>
    </row>
    <row r="13" spans="2:13">
      <c r="B13" s="29">
        <v>45200</v>
      </c>
      <c r="C13" s="38" t="s">
        <v>158</v>
      </c>
      <c r="D13">
        <v>254</v>
      </c>
      <c r="E13">
        <v>9.4474269999999994</v>
      </c>
      <c r="F13" s="50">
        <v>2399.6464579999997</v>
      </c>
      <c r="G13" s="47">
        <v>0.11700000000000001</v>
      </c>
      <c r="H13" s="43">
        <v>10</v>
      </c>
      <c r="I13" s="29">
        <v>45372</v>
      </c>
      <c r="J13" s="43">
        <f>F13*(1+G13/2)</f>
        <v>2540.0257757929999</v>
      </c>
      <c r="K13" t="s">
        <v>154</v>
      </c>
      <c r="L13" s="29">
        <v>45372</v>
      </c>
    </row>
    <row r="20" spans="6:10">
      <c r="F20" s="43">
        <f>SUM(F13:F19)</f>
        <v>2399.6464579999997</v>
      </c>
      <c r="J20" s="43">
        <f>SUM(J13:J19)</f>
        <v>2540.0257757929999</v>
      </c>
    </row>
  </sheetData>
  <conditionalFormatting sqref="L13">
    <cfRule type="dataBar" priority="1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{A3F6748D-B592-43A3-9EF2-DDB60409269B}</x14:id>
        </ext>
      </extLst>
    </cfRule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{BCBF4A55-E2B6-4909-93D4-CB3F72706EDF}</x14:id>
        </ext>
      </extLst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3F6748D-B592-43A3-9EF2-DDB60409269B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BCBF4A55-E2B6-4909-93D4-CB3F72706ED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L13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DBA5FA-9DDD-45EE-B060-B8EF3A2E3595}">
  <dimension ref="A1:Y59"/>
  <sheetViews>
    <sheetView workbookViewId="0">
      <selection activeCell="B21" sqref="B21"/>
    </sheetView>
  </sheetViews>
  <sheetFormatPr defaultRowHeight="14.25"/>
  <cols>
    <col min="1" max="1" width="9" style="66"/>
    <col min="2" max="2" width="13.5" bestFit="1" customWidth="1"/>
    <col min="3" max="3" width="14.625" bestFit="1" customWidth="1"/>
    <col min="4" max="5" width="14.125" bestFit="1" customWidth="1"/>
    <col min="6" max="6" width="16.75" bestFit="1" customWidth="1"/>
    <col min="7" max="7" width="10.375" bestFit="1" customWidth="1"/>
    <col min="8" max="8" width="12.125" bestFit="1" customWidth="1"/>
    <col min="9" max="9" width="16.125" bestFit="1" customWidth="1"/>
    <col min="10" max="10" width="16.125" customWidth="1"/>
    <col min="11" max="12" width="19.5" bestFit="1" customWidth="1"/>
    <col min="13" max="13" width="28.5" bestFit="1" customWidth="1"/>
    <col min="14" max="14" width="18.125" bestFit="1" customWidth="1"/>
    <col min="15" max="15" width="11.875" bestFit="1" customWidth="1"/>
    <col min="16" max="16" width="7.125" bestFit="1" customWidth="1"/>
    <col min="18" max="18" width="11.375" bestFit="1" customWidth="1"/>
    <col min="19" max="19" width="15" bestFit="1" customWidth="1"/>
    <col min="20" max="20" width="10.375" bestFit="1" customWidth="1"/>
    <col min="21" max="21" width="12.125" bestFit="1" customWidth="1"/>
    <col min="23" max="23" width="16.625" bestFit="1" customWidth="1"/>
    <col min="24" max="24" width="18.125" bestFit="1" customWidth="1"/>
    <col min="25" max="25" width="21.5" bestFit="1" customWidth="1"/>
  </cols>
  <sheetData>
    <row r="1" spans="1:25" s="64" customFormat="1">
      <c r="A1" s="66"/>
    </row>
    <row r="2" spans="1:25" ht="15">
      <c r="B2" s="53" t="s">
        <v>101</v>
      </c>
      <c r="C2" s="55">
        <f ca="1">I4*2000</f>
        <v>54000</v>
      </c>
      <c r="D2" s="42" t="s">
        <v>162</v>
      </c>
      <c r="E2" t="s">
        <v>199</v>
      </c>
    </row>
    <row r="3" spans="1:25" ht="15">
      <c r="B3" s="63" t="s">
        <v>163</v>
      </c>
      <c r="C3" s="55">
        <f>H21</f>
        <v>51419</v>
      </c>
      <c r="D3" s="67">
        <f>C3/$C$7</f>
        <v>1</v>
      </c>
      <c r="E3" s="52">
        <f>H21/F21-1</f>
        <v>0.12408410147600413</v>
      </c>
      <c r="G3" s="45" t="s">
        <v>123</v>
      </c>
      <c r="H3" s="45" t="s">
        <v>124</v>
      </c>
    </row>
    <row r="4" spans="1:25" ht="15">
      <c r="B4" s="53" t="s">
        <v>164</v>
      </c>
      <c r="C4" s="55">
        <f>F56</f>
        <v>0</v>
      </c>
      <c r="D4" s="67">
        <f>C4/$C$7</f>
        <v>0</v>
      </c>
      <c r="G4" s="29">
        <v>44774</v>
      </c>
      <c r="H4" s="29">
        <f ca="1">TODAY()</f>
        <v>45585</v>
      </c>
      <c r="I4" s="41">
        <f ca="1">TRUNC((H4-G4)/30)</f>
        <v>27</v>
      </c>
      <c r="J4" t="s">
        <v>125</v>
      </c>
    </row>
    <row r="5" spans="1:25" ht="15">
      <c r="B5" s="53" t="s">
        <v>165</v>
      </c>
      <c r="C5">
        <v>0</v>
      </c>
      <c r="D5" s="67">
        <f>C5/$C$7</f>
        <v>0</v>
      </c>
    </row>
    <row r="6" spans="1:25" ht="15">
      <c r="B6" s="53" t="s">
        <v>166</v>
      </c>
      <c r="C6" s="55">
        <v>0</v>
      </c>
      <c r="D6" s="67">
        <f>C6/$C$7</f>
        <v>0</v>
      </c>
    </row>
    <row r="7" spans="1:25" ht="15">
      <c r="B7" s="53" t="s">
        <v>103</v>
      </c>
      <c r="C7" s="55">
        <f>SUM(C3:C6)</f>
        <v>51419</v>
      </c>
      <c r="D7" s="67">
        <f>C7/$C$7</f>
        <v>1</v>
      </c>
    </row>
    <row r="8" spans="1:25" ht="15">
      <c r="B8" s="53" t="s">
        <v>128</v>
      </c>
      <c r="C8" s="55">
        <f ca="1">C7-C2</f>
        <v>-2581</v>
      </c>
    </row>
    <row r="10" spans="1:25" s="64" customFormat="1" ht="15">
      <c r="A10" s="66"/>
      <c r="B10" s="65" t="s">
        <v>163</v>
      </c>
    </row>
    <row r="11" spans="1:25">
      <c r="B11" t="s">
        <v>124</v>
      </c>
      <c r="C11" s="29">
        <f ca="1">TODAY()</f>
        <v>45585</v>
      </c>
    </row>
    <row r="12" spans="1:25">
      <c r="B12" t="s">
        <v>169</v>
      </c>
      <c r="C12" s="29">
        <v>44927</v>
      </c>
      <c r="N12" s="69" t="s">
        <v>195</v>
      </c>
    </row>
    <row r="13" spans="1:25" ht="15">
      <c r="B13" s="32" t="s">
        <v>170</v>
      </c>
      <c r="C13" s="32" t="s">
        <v>135</v>
      </c>
      <c r="D13" s="33" t="s">
        <v>136</v>
      </c>
      <c r="E13" s="33" t="s">
        <v>137</v>
      </c>
      <c r="F13" s="33" t="s">
        <v>138</v>
      </c>
      <c r="G13" s="33" t="s">
        <v>200</v>
      </c>
      <c r="H13" s="33" t="s">
        <v>140</v>
      </c>
      <c r="I13" s="33" t="s">
        <v>141</v>
      </c>
      <c r="J13" s="33"/>
      <c r="K13" s="33" t="s">
        <v>142</v>
      </c>
      <c r="L13" s="34" t="s">
        <v>143</v>
      </c>
      <c r="N13" s="78" t="s">
        <v>170</v>
      </c>
      <c r="O13" s="78" t="s">
        <v>135</v>
      </c>
      <c r="P13" s="78" t="s">
        <v>136</v>
      </c>
      <c r="Q13" s="78" t="s">
        <v>137</v>
      </c>
      <c r="R13" s="78" t="s">
        <v>138</v>
      </c>
      <c r="S13" s="78" t="s">
        <v>200</v>
      </c>
      <c r="T13" s="78" t="s">
        <v>140</v>
      </c>
      <c r="U13" s="78" t="s">
        <v>141</v>
      </c>
      <c r="V13" s="79" t="s">
        <v>142</v>
      </c>
      <c r="W13" s="79" t="s">
        <v>201</v>
      </c>
      <c r="X13" s="80" t="s">
        <v>202</v>
      </c>
      <c r="Y13" s="79" t="s">
        <v>203</v>
      </c>
    </row>
    <row r="14" spans="1:25">
      <c r="C14" s="36" t="s">
        <v>146</v>
      </c>
      <c r="D14">
        <v>56</v>
      </c>
      <c r="E14">
        <v>88.55</v>
      </c>
      <c r="F14" s="55">
        <f>D14*E14</f>
        <v>4958.8</v>
      </c>
      <c r="G14">
        <v>100</v>
      </c>
      <c r="H14" s="55">
        <f>D14*G14</f>
        <v>5600</v>
      </c>
      <c r="I14" s="29">
        <v>46450</v>
      </c>
      <c r="J14" s="52">
        <f>G14/E14-1</f>
        <v>0.12930547713156404</v>
      </c>
      <c r="K14" s="29" t="s">
        <v>147</v>
      </c>
      <c r="L14" s="30">
        <f ca="1">(I14-$C$11)/365</f>
        <v>2.3698630136986303</v>
      </c>
      <c r="N14" s="71">
        <v>45139</v>
      </c>
      <c r="O14" s="72" t="s">
        <v>149</v>
      </c>
      <c r="P14" s="70">
        <v>6000</v>
      </c>
      <c r="Q14" s="70">
        <v>9.4574999999999996</v>
      </c>
      <c r="R14" s="73">
        <f>P14*Q14-31121</f>
        <v>25624</v>
      </c>
      <c r="S14" s="70">
        <v>10</v>
      </c>
      <c r="T14" s="73">
        <f>S14*P14</f>
        <v>60000</v>
      </c>
      <c r="U14" s="71">
        <v>45330</v>
      </c>
      <c r="V14" s="71" t="s">
        <v>147</v>
      </c>
      <c r="W14" s="74">
        <f>(S14/Q14-1)</f>
        <v>5.7361882104150164E-2</v>
      </c>
      <c r="X14" s="70">
        <f>(U14-N14)/(30*12)</f>
        <v>0.53055555555555556</v>
      </c>
      <c r="Y14" s="75">
        <f>W14*2</f>
        <v>0.11472376420830033</v>
      </c>
    </row>
    <row r="15" spans="1:25">
      <c r="C15" s="36" t="s">
        <v>157</v>
      </c>
      <c r="D15">
        <v>1514</v>
      </c>
      <c r="E15">
        <v>8.945411</v>
      </c>
      <c r="F15" s="55">
        <f t="shared" ref="F15:F16" si="0">D15*E15</f>
        <v>13543.352253999999</v>
      </c>
      <c r="G15">
        <v>10</v>
      </c>
      <c r="H15" s="55">
        <f>G15*D15</f>
        <v>15140</v>
      </c>
      <c r="I15" s="29">
        <v>45554</v>
      </c>
      <c r="J15" s="52">
        <f>G15/E15-1</f>
        <v>0.11789162063095815</v>
      </c>
      <c r="K15" s="29" t="s">
        <v>154</v>
      </c>
      <c r="L15" s="30">
        <f t="shared" ref="L15:L16" ca="1" si="1">(I15-$C$11)/365</f>
        <v>-8.4931506849315067E-2</v>
      </c>
      <c r="R15" s="43"/>
      <c r="T15" s="97">
        <f>T14-31121</f>
        <v>28879</v>
      </c>
    </row>
    <row r="16" spans="1:25">
      <c r="C16" t="s">
        <v>160</v>
      </c>
      <c r="D16">
        <v>180</v>
      </c>
      <c r="E16">
        <v>8.9825909999999993</v>
      </c>
      <c r="F16" s="55">
        <f t="shared" si="0"/>
        <v>1616.8663799999999</v>
      </c>
      <c r="G16">
        <v>10</v>
      </c>
      <c r="H16" s="55">
        <f>G16*D16</f>
        <v>1800</v>
      </c>
      <c r="I16" s="29">
        <v>45637</v>
      </c>
      <c r="J16" s="52">
        <f>G16/E16-1</f>
        <v>0.11326453581154938</v>
      </c>
      <c r="K16" t="s">
        <v>154</v>
      </c>
      <c r="L16" s="30">
        <f t="shared" ca="1" si="1"/>
        <v>0.14246575342465753</v>
      </c>
      <c r="T16" s="97">
        <f>T14-T15</f>
        <v>31121</v>
      </c>
    </row>
    <row r="17" spans="1:13">
      <c r="F17" s="55"/>
      <c r="H17" s="55"/>
      <c r="I17" s="29"/>
      <c r="J17" s="29"/>
      <c r="L17" s="30"/>
    </row>
    <row r="18" spans="1:13">
      <c r="F18" s="55"/>
      <c r="H18" s="55"/>
      <c r="I18" s="29"/>
      <c r="J18" s="29"/>
      <c r="L18" s="30"/>
    </row>
    <row r="19" spans="1:13">
      <c r="F19" s="55"/>
      <c r="H19" s="55"/>
      <c r="I19" s="29"/>
      <c r="J19" s="29"/>
      <c r="L19" s="30"/>
    </row>
    <row r="20" spans="1:13">
      <c r="C20" t="s">
        <v>166</v>
      </c>
      <c r="F20" s="55">
        <v>25624</v>
      </c>
      <c r="H20" s="55">
        <v>28879</v>
      </c>
      <c r="I20" s="29"/>
      <c r="J20" s="29"/>
      <c r="L20" s="30"/>
    </row>
    <row r="21" spans="1:13">
      <c r="C21" t="s">
        <v>103</v>
      </c>
      <c r="F21" s="68">
        <f>SUM(F14:F20)</f>
        <v>45743.018634</v>
      </c>
      <c r="H21" s="55">
        <f>SUM(H14:H20)</f>
        <v>51419</v>
      </c>
    </row>
    <row r="23" spans="1:13">
      <c r="F23" s="55"/>
    </row>
    <row r="26" spans="1:13" s="64" customFormat="1" ht="15">
      <c r="A26" s="66"/>
      <c r="B26" s="65" t="s">
        <v>164</v>
      </c>
    </row>
    <row r="27" spans="1:13">
      <c r="B27" t="s">
        <v>124</v>
      </c>
      <c r="C27" s="29">
        <f ca="1">TODAY()</f>
        <v>45585</v>
      </c>
    </row>
    <row r="28" spans="1:13">
      <c r="B28" t="s">
        <v>169</v>
      </c>
      <c r="C28" s="29">
        <v>45294</v>
      </c>
    </row>
    <row r="29" spans="1:13" ht="15">
      <c r="B29" s="32" t="s">
        <v>170</v>
      </c>
      <c r="C29" s="32" t="s">
        <v>135</v>
      </c>
      <c r="D29" s="33" t="s">
        <v>136</v>
      </c>
      <c r="E29" s="33" t="s">
        <v>137</v>
      </c>
      <c r="F29" s="33" t="s">
        <v>171</v>
      </c>
      <c r="G29" s="33" t="s">
        <v>172</v>
      </c>
      <c r="H29" s="33" t="s">
        <v>173</v>
      </c>
      <c r="I29" s="33" t="s">
        <v>174</v>
      </c>
      <c r="J29" s="33" t="s">
        <v>175</v>
      </c>
      <c r="K29" s="33" t="s">
        <v>142</v>
      </c>
      <c r="L29" s="34" t="s">
        <v>176</v>
      </c>
      <c r="M29" t="s">
        <v>177</v>
      </c>
    </row>
    <row r="30" spans="1:13" ht="15">
      <c r="B30" s="31"/>
      <c r="C30" s="31"/>
      <c r="D30" s="31"/>
      <c r="E30" s="76"/>
      <c r="F30" s="76"/>
      <c r="G30" s="31"/>
      <c r="H30" s="77"/>
      <c r="I30" s="31"/>
      <c r="J30" s="76"/>
      <c r="K30" s="31"/>
      <c r="L30" s="77"/>
    </row>
    <row r="31" spans="1:13" ht="15">
      <c r="B31" s="31"/>
      <c r="C31" s="31"/>
      <c r="D31" s="31"/>
      <c r="E31" s="31"/>
      <c r="F31" s="76"/>
      <c r="G31" s="31"/>
      <c r="H31" s="77"/>
      <c r="I31" s="31"/>
      <c r="J31" s="76"/>
      <c r="K31" s="31"/>
      <c r="L31" s="77"/>
      <c r="M31" s="36" t="s">
        <v>180</v>
      </c>
    </row>
    <row r="32" spans="1:13" ht="15">
      <c r="B32" s="31"/>
      <c r="C32" s="31"/>
      <c r="D32" s="31"/>
      <c r="E32" s="31"/>
      <c r="F32" s="76"/>
      <c r="G32" s="31"/>
      <c r="H32" s="77"/>
      <c r="I32" s="31"/>
      <c r="J32" s="76"/>
      <c r="K32" s="31"/>
      <c r="L32" s="77"/>
    </row>
    <row r="33" spans="2:12" ht="15">
      <c r="B33" s="31"/>
      <c r="C33" s="31"/>
      <c r="D33" s="31"/>
      <c r="E33" s="31"/>
      <c r="F33" s="76"/>
      <c r="G33" s="31"/>
      <c r="H33" s="77"/>
      <c r="I33" s="31"/>
      <c r="J33" s="76"/>
      <c r="K33" s="31"/>
      <c r="L33" s="77"/>
    </row>
    <row r="34" spans="2:12" ht="15">
      <c r="B34" s="31"/>
      <c r="C34" s="31"/>
      <c r="D34" s="31"/>
      <c r="E34" s="31"/>
      <c r="F34" s="76"/>
      <c r="G34" s="31"/>
      <c r="H34" s="77"/>
      <c r="I34" s="31"/>
      <c r="J34" s="76"/>
      <c r="K34" s="31"/>
      <c r="L34" s="77"/>
    </row>
    <row r="35" spans="2:12" ht="15">
      <c r="B35" s="31"/>
      <c r="C35" s="31"/>
      <c r="D35" s="31"/>
      <c r="E35" s="31"/>
      <c r="F35" s="76"/>
      <c r="G35" s="31"/>
      <c r="H35" s="77"/>
      <c r="I35" s="31"/>
      <c r="J35" s="76"/>
      <c r="K35" s="31"/>
      <c r="L35" s="77"/>
    </row>
    <row r="36" spans="2:12" ht="15">
      <c r="B36" s="31"/>
      <c r="C36" s="31"/>
      <c r="D36" s="31"/>
      <c r="E36" s="31"/>
      <c r="F36" s="76"/>
      <c r="G36" s="31"/>
      <c r="H36" s="77"/>
      <c r="I36" s="31"/>
      <c r="J36" s="76"/>
      <c r="K36" s="31"/>
      <c r="L36" s="77"/>
    </row>
    <row r="37" spans="2:12" ht="15">
      <c r="B37" s="31"/>
      <c r="C37" s="31"/>
      <c r="D37" s="31"/>
      <c r="E37" s="31"/>
      <c r="F37" s="76"/>
      <c r="G37" s="31"/>
      <c r="H37" s="77"/>
      <c r="I37" s="31"/>
      <c r="J37" s="76"/>
      <c r="K37" s="31"/>
      <c r="L37" s="77"/>
    </row>
    <row r="38" spans="2:12" ht="15">
      <c r="B38" s="31"/>
      <c r="C38" s="31"/>
      <c r="D38" s="31"/>
      <c r="E38" s="31"/>
      <c r="F38" s="76"/>
      <c r="G38" s="31"/>
      <c r="H38" s="77"/>
      <c r="I38" s="31"/>
      <c r="J38" s="76"/>
      <c r="K38" s="31"/>
      <c r="L38" s="77"/>
    </row>
    <row r="39" spans="2:12" ht="15">
      <c r="B39" s="31"/>
      <c r="C39" s="31"/>
      <c r="D39" s="31"/>
      <c r="E39" s="31"/>
      <c r="F39" s="76"/>
      <c r="G39" s="31"/>
      <c r="H39" s="77"/>
      <c r="I39" s="31"/>
      <c r="J39" s="76"/>
      <c r="K39" s="31"/>
      <c r="L39" s="77"/>
    </row>
    <row r="40" spans="2:12" ht="15">
      <c r="B40" s="31"/>
      <c r="C40" s="31"/>
      <c r="D40" s="31"/>
      <c r="E40" s="31"/>
      <c r="F40" s="76"/>
      <c r="G40" s="31"/>
      <c r="H40" s="77"/>
      <c r="I40" s="31"/>
      <c r="J40" s="76"/>
      <c r="K40" s="31"/>
      <c r="L40" s="77"/>
    </row>
    <row r="41" spans="2:12" ht="15">
      <c r="B41" s="31"/>
      <c r="C41" s="31"/>
      <c r="D41" s="31"/>
      <c r="E41" s="31"/>
      <c r="F41" s="76"/>
      <c r="G41" s="31"/>
      <c r="H41" s="77"/>
      <c r="I41" s="31"/>
      <c r="J41" s="76"/>
      <c r="K41" s="31"/>
      <c r="L41" s="77"/>
    </row>
    <row r="42" spans="2:12" ht="15">
      <c r="B42" s="31"/>
      <c r="C42" s="31"/>
      <c r="D42" s="31"/>
      <c r="E42" s="31"/>
      <c r="F42" s="31"/>
      <c r="G42" s="31"/>
      <c r="H42" s="77"/>
      <c r="I42" s="31"/>
      <c r="J42" s="76"/>
      <c r="K42" s="31"/>
      <c r="L42" s="77"/>
    </row>
    <row r="43" spans="2:12" ht="15">
      <c r="B43" s="31"/>
      <c r="C43" s="31"/>
      <c r="D43" s="31"/>
      <c r="E43" s="31"/>
      <c r="F43" s="31"/>
      <c r="G43" s="31"/>
      <c r="H43" s="77"/>
      <c r="I43" s="31"/>
      <c r="J43" s="76"/>
      <c r="K43" s="31"/>
      <c r="L43" s="77"/>
    </row>
    <row r="44" spans="2:12" ht="15">
      <c r="B44" s="31"/>
      <c r="C44" s="31"/>
      <c r="D44" s="31"/>
      <c r="E44" s="31"/>
      <c r="F44" s="31"/>
      <c r="G44" s="31"/>
      <c r="H44" s="77"/>
      <c r="I44" s="31"/>
      <c r="J44" s="76"/>
      <c r="K44" s="31"/>
      <c r="L44" s="77"/>
    </row>
    <row r="45" spans="2:12" ht="15">
      <c r="B45" s="31"/>
      <c r="C45" s="31"/>
      <c r="D45" s="31"/>
      <c r="E45" s="31"/>
      <c r="F45" s="31"/>
      <c r="G45" s="31"/>
      <c r="H45" s="77"/>
      <c r="I45" s="31"/>
      <c r="J45" s="76"/>
      <c r="K45" s="31"/>
      <c r="L45" s="77"/>
    </row>
    <row r="46" spans="2:12" ht="15">
      <c r="B46" s="31"/>
      <c r="C46" s="31"/>
      <c r="D46" s="31"/>
      <c r="E46" s="31"/>
      <c r="F46" s="31"/>
      <c r="G46" s="31"/>
      <c r="H46" s="77"/>
      <c r="I46" s="31"/>
      <c r="J46" s="76"/>
      <c r="K46" s="31"/>
      <c r="L46" s="77"/>
    </row>
    <row r="47" spans="2:12" ht="15">
      <c r="B47" s="31"/>
      <c r="C47" s="31"/>
      <c r="D47" s="31"/>
      <c r="E47" s="31"/>
      <c r="F47" s="31"/>
      <c r="G47" s="31"/>
      <c r="H47" s="77"/>
      <c r="I47" s="31"/>
      <c r="J47" s="76"/>
      <c r="K47" s="31"/>
      <c r="L47" s="77"/>
    </row>
    <row r="48" spans="2:12" ht="15">
      <c r="B48" s="31"/>
      <c r="C48" s="31"/>
      <c r="D48" s="31"/>
      <c r="E48" s="31"/>
      <c r="F48" s="31"/>
      <c r="G48" s="31"/>
      <c r="H48" s="77"/>
      <c r="I48" s="31"/>
      <c r="J48" s="76"/>
      <c r="K48" s="31"/>
      <c r="L48" s="77"/>
    </row>
    <row r="49" spans="2:12" ht="15">
      <c r="B49" s="31"/>
      <c r="C49" s="31"/>
      <c r="D49" s="31"/>
      <c r="E49" s="31"/>
      <c r="F49" s="31"/>
      <c r="G49" s="31"/>
      <c r="H49" s="77"/>
      <c r="I49" s="31"/>
      <c r="J49" s="76"/>
      <c r="K49" s="31"/>
      <c r="L49" s="77"/>
    </row>
    <row r="50" spans="2:12" ht="15">
      <c r="B50" s="31"/>
      <c r="C50" s="31"/>
      <c r="D50" s="31"/>
      <c r="E50" s="31"/>
      <c r="F50" s="31"/>
      <c r="G50" s="31"/>
      <c r="H50" s="77"/>
      <c r="I50" s="31"/>
      <c r="J50" s="76"/>
      <c r="K50" s="31"/>
      <c r="L50" s="77"/>
    </row>
    <row r="51" spans="2:12" ht="15">
      <c r="B51" s="31"/>
      <c r="C51" s="31"/>
      <c r="D51" s="31"/>
      <c r="E51" s="31"/>
      <c r="F51" s="31"/>
      <c r="G51" s="31"/>
      <c r="H51" s="77"/>
      <c r="I51" s="31"/>
      <c r="J51" s="76"/>
      <c r="K51" s="31"/>
      <c r="L51" s="77"/>
    </row>
    <row r="52" spans="2:12" ht="15">
      <c r="B52" s="31"/>
      <c r="C52" s="31"/>
      <c r="D52" s="31"/>
      <c r="E52" s="31"/>
      <c r="F52" s="31"/>
      <c r="G52" s="31"/>
      <c r="H52" s="77"/>
      <c r="I52" s="31"/>
      <c r="J52" s="76"/>
      <c r="K52" s="31"/>
      <c r="L52" s="77"/>
    </row>
    <row r="53" spans="2:12" ht="15">
      <c r="B53" s="31"/>
      <c r="C53" s="31"/>
      <c r="D53" s="31"/>
      <c r="E53" s="31"/>
      <c r="F53" s="31"/>
      <c r="G53" s="31"/>
      <c r="H53" s="77"/>
      <c r="I53" s="31"/>
      <c r="J53" s="76"/>
      <c r="K53" s="31"/>
      <c r="L53" s="77"/>
    </row>
    <row r="54" spans="2:12" ht="15">
      <c r="B54" s="31"/>
      <c r="C54" s="31"/>
      <c r="D54" s="31"/>
      <c r="E54" s="31"/>
      <c r="F54" s="31"/>
      <c r="G54" s="31"/>
      <c r="H54" s="77"/>
      <c r="I54" s="31"/>
      <c r="J54" s="76"/>
      <c r="K54" s="31"/>
      <c r="L54" s="77"/>
    </row>
    <row r="55" spans="2:12" ht="15">
      <c r="B55" s="31"/>
      <c r="C55" s="31"/>
      <c r="D55" s="31"/>
      <c r="E55" s="31"/>
      <c r="F55" s="31"/>
      <c r="G55" s="31"/>
      <c r="H55" s="31"/>
      <c r="I55" s="31"/>
      <c r="J55" s="31"/>
      <c r="K55" s="31"/>
      <c r="L55" s="31"/>
    </row>
    <row r="56" spans="2:12">
      <c r="C56" t="s">
        <v>103</v>
      </c>
      <c r="F56" s="55">
        <f>SUM(F30:F55)</f>
        <v>0</v>
      </c>
      <c r="H56" s="47" t="e">
        <f>(I56-F56)/F56</f>
        <v>#DIV/0!</v>
      </c>
      <c r="I56" s="55">
        <f>SUM(I30:I55)</f>
        <v>0</v>
      </c>
    </row>
    <row r="57" spans="2:12">
      <c r="J57" s="55"/>
    </row>
    <row r="58" spans="2:12">
      <c r="J58" s="55"/>
    </row>
    <row r="59" spans="2:12">
      <c r="J59" s="55"/>
    </row>
  </sheetData>
  <conditionalFormatting sqref="W14">
    <cfRule type="dataBar" priority="3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{AD7631CB-165D-4E3A-B998-5E50CCE4351C}</x14:id>
        </ext>
      </extLst>
    </cfRule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{AD6188BA-DFF3-4C00-B439-43ABAA5D55DC}</x14:id>
        </ext>
      </extLst>
    </cfRule>
  </conditionalFormatting>
  <conditionalFormatting sqref="L14:L20">
    <cfRule type="dataBar" priority="5">
      <dataBar>
        <cfvo type="min"/>
        <cfvo type="max"/>
        <color rgb="FFD6007B"/>
      </dataBar>
      <extLst>
        <ext xmlns:x14="http://schemas.microsoft.com/office/spreadsheetml/2009/9/main" uri="{B025F937-C7B1-47D3-B67F-A62EFF666E3E}">
          <x14:id>{01458CAC-6330-4107-91A6-D35D58ABB5CC}</x14:id>
        </ext>
      </extLst>
    </cfRule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{19C111D7-8AB2-4B24-A0B3-E9BB650C27CA}</x14:id>
        </ext>
      </extLst>
    </cfRule>
  </conditionalFormatting>
  <conditionalFormatting sqref="L30:L54">
    <cfRule type="dataBar" priority="2">
      <dataBar>
        <cfvo type="min"/>
        <cfvo type="max"/>
        <color rgb="FF638EC6"/>
      </dataBar>
      <extLst>
        <ext xmlns:x14="http://schemas.microsoft.com/office/spreadsheetml/2009/9/main" uri="{B025F937-C7B1-47D3-B67F-A62EFF666E3E}">
          <x14:id>{EA3ED331-8B4A-4F3C-8E4A-9ABE271DCEEE}</x14:id>
        </ext>
      </extLst>
    </cfRule>
  </conditionalFormatting>
  <conditionalFormatting sqref="H30:H5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D7631CB-165D-4E3A-B998-5E50CCE4351C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AD6188BA-DFF3-4C00-B439-43ABAA5D55D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W14</xm:sqref>
        </x14:conditionalFormatting>
        <x14:conditionalFormatting xmlns:xm="http://schemas.microsoft.com/office/excel/2006/main">
          <x14:cfRule type="dataBar" id="{01458CAC-6330-4107-91A6-D35D58ABB5CC}">
            <x14:dataBar minLength="0" maxLength="100" border="1" negativeBarBorderColorSameAsPositive="0">
              <x14:cfvo type="autoMin"/>
              <x14:cfvo type="autoMax"/>
              <x14:borderColor rgb="FFD6007B"/>
              <x14:negativeFillColor rgb="FFFF0000"/>
              <x14:negativeBorderColor rgb="FFFF0000"/>
              <x14:axisColor rgb="FF000000"/>
            </x14:dataBar>
          </x14:cfRule>
          <x14:cfRule type="dataBar" id="{19C111D7-8AB2-4B24-A0B3-E9BB650C27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L14:L20</xm:sqref>
        </x14:conditionalFormatting>
        <x14:conditionalFormatting xmlns:xm="http://schemas.microsoft.com/office/excel/2006/main">
          <x14:cfRule type="dataBar" id="{EA3ED331-8B4A-4F3C-8E4A-9ABE271DCEEE}">
            <x14:dataBar minLength="0" maxLength="100" border="1" negativeBarBorderColorSameAsPositive="0">
              <x14:cfvo type="autoMin"/>
              <x14:cfvo type="autoMax"/>
              <x14:borderColor rgb="FF638EC6"/>
              <x14:negativeFillColor rgb="FFFF0000"/>
              <x14:negativeBorderColor rgb="FFFF0000"/>
              <x14:axisColor rgb="FF000000"/>
            </x14:dataBar>
          </x14:cfRule>
          <xm:sqref>L30:L54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9595B8-9039-4557-B5EC-E3C7B748510A}">
  <dimension ref="A1:E6"/>
  <sheetViews>
    <sheetView workbookViewId="0">
      <selection activeCell="B1" sqref="B1"/>
    </sheetView>
  </sheetViews>
  <sheetFormatPr defaultRowHeight="14.25"/>
  <cols>
    <col min="1" max="1" width="13.375" bestFit="1" customWidth="1"/>
    <col min="2" max="2" width="8.25" bestFit="1" customWidth="1"/>
    <col min="3" max="3" width="11" bestFit="1" customWidth="1"/>
  </cols>
  <sheetData>
    <row r="1" spans="1:5">
      <c r="A1" t="s">
        <v>204</v>
      </c>
    </row>
    <row r="2" spans="1:5">
      <c r="B2" t="s">
        <v>147</v>
      </c>
      <c r="C2" t="s">
        <v>205</v>
      </c>
      <c r="D2" t="s">
        <v>206</v>
      </c>
    </row>
    <row r="3" spans="1:5">
      <c r="A3" t="s">
        <v>166</v>
      </c>
      <c r="E3">
        <f>B3+C3+D3</f>
        <v>0</v>
      </c>
    </row>
    <row r="4" spans="1:5">
      <c r="A4" t="s">
        <v>163</v>
      </c>
      <c r="E4">
        <f>B4+C4+D4</f>
        <v>0</v>
      </c>
    </row>
    <row r="5" spans="1:5">
      <c r="A5" t="s">
        <v>165</v>
      </c>
      <c r="E5">
        <f>B5+C5+D5</f>
        <v>0</v>
      </c>
    </row>
    <row r="6" spans="1:5">
      <c r="A6" t="s">
        <v>207</v>
      </c>
      <c r="E6">
        <f>B6+C6+D6</f>
        <v>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73A4FD-427F-4360-B90F-72137BACBCC8}">
  <dimension ref="A2:I12"/>
  <sheetViews>
    <sheetView workbookViewId="0">
      <selection activeCell="E12" sqref="E12"/>
    </sheetView>
  </sheetViews>
  <sheetFormatPr defaultRowHeight="14.25"/>
  <cols>
    <col min="5" max="5" width="11.375" bestFit="1" customWidth="1"/>
    <col min="7" max="7" width="10.375" bestFit="1" customWidth="1"/>
    <col min="8" max="8" width="11.375" bestFit="1" customWidth="1"/>
  </cols>
  <sheetData>
    <row r="2" spans="1:9">
      <c r="H2" t="s">
        <v>199</v>
      </c>
    </row>
    <row r="3" spans="1:9">
      <c r="B3" t="s">
        <v>138</v>
      </c>
      <c r="H3">
        <v>3.7335300000000293E-2</v>
      </c>
    </row>
    <row r="4" spans="1:9">
      <c r="A4">
        <v>1</v>
      </c>
      <c r="B4" s="36" t="s">
        <v>208</v>
      </c>
      <c r="C4" s="36"/>
      <c r="D4" s="36"/>
      <c r="E4" s="98">
        <v>30000</v>
      </c>
      <c r="F4" s="98">
        <v>100.63549999999999</v>
      </c>
      <c r="G4" s="98">
        <f>E4*$H$3</f>
        <v>1120.0590000000088</v>
      </c>
      <c r="H4" s="100">
        <f>E4+G4</f>
        <v>31120.059000000008</v>
      </c>
    </row>
    <row r="5" spans="1:9">
      <c r="B5" s="36"/>
      <c r="C5" s="36"/>
      <c r="D5" s="36"/>
      <c r="E5" s="98"/>
      <c r="F5" s="98"/>
      <c r="G5" s="98"/>
      <c r="H5" s="99">
        <f>10/F6-1</f>
        <v>5.7361882104150164E-2</v>
      </c>
    </row>
    <row r="6" spans="1:9">
      <c r="A6">
        <v>2</v>
      </c>
      <c r="B6" t="s">
        <v>208</v>
      </c>
      <c r="E6" s="43">
        <v>31120</v>
      </c>
      <c r="F6">
        <v>9.4574999999999996</v>
      </c>
      <c r="G6" s="43">
        <f>E6*H5</f>
        <v>1785.1017710811532</v>
      </c>
      <c r="H6" s="100">
        <f>E6+G6</f>
        <v>32905.10177108115</v>
      </c>
    </row>
    <row r="7" spans="1:9">
      <c r="H7">
        <v>1.8133E-2</v>
      </c>
    </row>
    <row r="8" spans="1:9">
      <c r="A8">
        <v>3</v>
      </c>
      <c r="B8" t="s">
        <v>208</v>
      </c>
      <c r="E8" s="43">
        <v>32905.1</v>
      </c>
      <c r="F8">
        <v>99.795599999999993</v>
      </c>
      <c r="G8" s="43">
        <f>E8*H7</f>
        <v>596.66817830000002</v>
      </c>
      <c r="H8" s="100">
        <f>E8+G8</f>
        <v>33501.768178300001</v>
      </c>
    </row>
    <row r="9" spans="1:9">
      <c r="H9" t="s">
        <v>209</v>
      </c>
    </row>
    <row r="10" spans="1:9" ht="15">
      <c r="H10" s="101">
        <f>(H8-E4)/E4</f>
        <v>0.11672560594333335</v>
      </c>
    </row>
    <row r="11" spans="1:9">
      <c r="B11" s="52"/>
    </row>
    <row r="12" spans="1:9">
      <c r="A12">
        <v>4</v>
      </c>
      <c r="B12" t="s">
        <v>208</v>
      </c>
      <c r="E12" s="43">
        <f>H8</f>
        <v>33501.768178300001</v>
      </c>
      <c r="I12" s="47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71F580-3118-48BA-A3C0-9ED19FBF8091}">
  <dimension ref="A2:G37"/>
  <sheetViews>
    <sheetView workbookViewId="0">
      <selection activeCell="A5" sqref="A5"/>
    </sheetView>
  </sheetViews>
  <sheetFormatPr defaultColWidth="9" defaultRowHeight="14.25"/>
  <cols>
    <col min="1" max="2" width="10.375" bestFit="1" customWidth="1"/>
    <col min="7" max="7" width="10.375" bestFit="1" customWidth="1"/>
  </cols>
  <sheetData>
    <row r="2" spans="1:7">
      <c r="A2" t="s">
        <v>210</v>
      </c>
      <c r="B2" t="s">
        <v>163</v>
      </c>
      <c r="C2" t="s">
        <v>164</v>
      </c>
      <c r="D2" t="s">
        <v>211</v>
      </c>
      <c r="E2" t="s">
        <v>165</v>
      </c>
      <c r="F2" t="s">
        <v>212</v>
      </c>
      <c r="G2" t="s">
        <v>103</v>
      </c>
    </row>
    <row r="3" spans="1:7">
      <c r="A3" s="29">
        <v>44562</v>
      </c>
      <c r="B3" s="55">
        <f>VIDA!C3</f>
        <v>33116.351212000001</v>
      </c>
      <c r="D3" s="55">
        <v>0</v>
      </c>
      <c r="G3" s="55">
        <f>SUM(B3:F3)</f>
        <v>33116.351212000001</v>
      </c>
    </row>
    <row r="4" spans="1:7">
      <c r="A4" s="29">
        <v>44593</v>
      </c>
      <c r="D4" s="55">
        <v>0</v>
      </c>
    </row>
    <row r="5" spans="1:7">
      <c r="A5" s="29">
        <v>44621</v>
      </c>
      <c r="D5" s="55"/>
    </row>
    <row r="6" spans="1:7">
      <c r="A6" s="29">
        <v>44652</v>
      </c>
    </row>
    <row r="7" spans="1:7">
      <c r="A7" s="29">
        <v>44682</v>
      </c>
    </row>
    <row r="8" spans="1:7">
      <c r="A8" s="29">
        <v>44713</v>
      </c>
    </row>
    <row r="9" spans="1:7">
      <c r="A9" s="29">
        <v>44743</v>
      </c>
    </row>
    <row r="10" spans="1:7">
      <c r="A10" s="29">
        <v>44774</v>
      </c>
    </row>
    <row r="11" spans="1:7">
      <c r="A11" s="29">
        <v>44805</v>
      </c>
    </row>
    <row r="12" spans="1:7">
      <c r="A12" s="29">
        <v>44835</v>
      </c>
    </row>
    <row r="13" spans="1:7">
      <c r="A13" s="29">
        <v>44866</v>
      </c>
    </row>
    <row r="14" spans="1:7">
      <c r="A14" s="29">
        <v>44896</v>
      </c>
    </row>
    <row r="15" spans="1:7">
      <c r="A15" s="29">
        <v>44927</v>
      </c>
    </row>
    <row r="16" spans="1:7">
      <c r="A16" s="29">
        <v>44958</v>
      </c>
    </row>
    <row r="17" spans="1:1">
      <c r="A17" s="29">
        <v>44986</v>
      </c>
    </row>
    <row r="18" spans="1:1">
      <c r="A18" s="29">
        <v>45017</v>
      </c>
    </row>
    <row r="19" spans="1:1">
      <c r="A19" s="29">
        <v>45047</v>
      </c>
    </row>
    <row r="20" spans="1:1">
      <c r="A20" s="29">
        <v>45078</v>
      </c>
    </row>
    <row r="21" spans="1:1">
      <c r="A21" s="29">
        <v>45108</v>
      </c>
    </row>
    <row r="22" spans="1:1">
      <c r="A22" s="29">
        <v>45139</v>
      </c>
    </row>
    <row r="23" spans="1:1">
      <c r="A23" s="29">
        <v>45170</v>
      </c>
    </row>
    <row r="24" spans="1:1">
      <c r="A24" s="29">
        <v>45200</v>
      </c>
    </row>
    <row r="25" spans="1:1">
      <c r="A25" s="29">
        <v>45231</v>
      </c>
    </row>
    <row r="26" spans="1:1">
      <c r="A26" s="29">
        <v>45261</v>
      </c>
    </row>
    <row r="27" spans="1:1">
      <c r="A27" s="29">
        <v>45292</v>
      </c>
    </row>
    <row r="28" spans="1:1">
      <c r="A28" s="29">
        <v>45323</v>
      </c>
    </row>
    <row r="29" spans="1:1">
      <c r="A29" s="29">
        <v>45352</v>
      </c>
    </row>
    <row r="30" spans="1:1">
      <c r="A30" s="29">
        <v>45353</v>
      </c>
    </row>
    <row r="31" spans="1:1">
      <c r="A31" s="29">
        <v>45354</v>
      </c>
    </row>
    <row r="32" spans="1:1">
      <c r="A32" s="29">
        <v>45355</v>
      </c>
    </row>
    <row r="33" spans="1:1">
      <c r="A33" s="29">
        <v>45356</v>
      </c>
    </row>
    <row r="34" spans="1:1">
      <c r="A34" s="29">
        <v>45357</v>
      </c>
    </row>
    <row r="35" spans="1:1">
      <c r="A35" s="29"/>
    </row>
    <row r="36" spans="1:1">
      <c r="A36" s="29"/>
    </row>
    <row r="37" spans="1:1">
      <c r="A37" s="29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C3512B-DCBC-479B-872A-EA44D7A9CD33}">
  <dimension ref="A1:I35"/>
  <sheetViews>
    <sheetView topLeftCell="A20" workbookViewId="0">
      <selection activeCell="C3" sqref="C3"/>
    </sheetView>
  </sheetViews>
  <sheetFormatPr defaultColWidth="9" defaultRowHeight="14.25"/>
  <cols>
    <col min="1" max="1" width="2.875" style="56" customWidth="1"/>
    <col min="2" max="2" width="16.875" bestFit="1" customWidth="1"/>
    <col min="3" max="3" width="12.625" bestFit="1" customWidth="1"/>
    <col min="4" max="4" width="11.375" bestFit="1" customWidth="1"/>
    <col min="5" max="5" width="20.875" bestFit="1" customWidth="1"/>
    <col min="6" max="6" width="10.375" bestFit="1" customWidth="1"/>
    <col min="7" max="7" width="18" bestFit="1" customWidth="1"/>
    <col min="8" max="8" width="18" customWidth="1"/>
    <col min="9" max="9" width="17.625" bestFit="1" customWidth="1"/>
    <col min="19" max="19" width="14.125" bestFit="1" customWidth="1"/>
    <col min="20" max="20" width="10.875" bestFit="1" customWidth="1"/>
  </cols>
  <sheetData>
    <row r="1" spans="1:6" s="59" customFormat="1">
      <c r="A1" s="58"/>
    </row>
    <row r="2" spans="1:6" s="53" customFormat="1" ht="15">
      <c r="A2" s="57"/>
      <c r="B2" s="53" t="s">
        <v>103</v>
      </c>
      <c r="C2" s="54"/>
    </row>
    <row r="3" spans="1:6">
      <c r="B3" t="s">
        <v>163</v>
      </c>
      <c r="C3" s="48">
        <f>SUM('Renta Fija'!F11:F17)-31121</f>
        <v>33116.351212000001</v>
      </c>
    </row>
    <row r="4" spans="1:6">
      <c r="B4" t="s">
        <v>165</v>
      </c>
      <c r="C4" s="48">
        <v>30000</v>
      </c>
      <c r="E4" s="55"/>
    </row>
    <row r="5" spans="1:6">
      <c r="B5" t="s">
        <v>164</v>
      </c>
      <c r="C5" s="48">
        <f>E31</f>
        <v>26696.11</v>
      </c>
      <c r="F5" s="55"/>
    </row>
    <row r="6" spans="1:6">
      <c r="B6" t="s">
        <v>211</v>
      </c>
      <c r="C6" s="48">
        <v>0</v>
      </c>
    </row>
    <row r="7" spans="1:6">
      <c r="B7" t="s">
        <v>166</v>
      </c>
      <c r="C7" s="48">
        <v>24028</v>
      </c>
    </row>
    <row r="8" spans="1:6">
      <c r="B8" t="s">
        <v>213</v>
      </c>
      <c r="C8" s="48">
        <v>20000</v>
      </c>
    </row>
    <row r="9" spans="1:6" ht="15">
      <c r="B9" s="60" t="s">
        <v>214</v>
      </c>
      <c r="C9" s="61">
        <f>SUM(C3:C7)</f>
        <v>113840.46121199999</v>
      </c>
    </row>
    <row r="10" spans="1:6">
      <c r="B10" t="s">
        <v>215</v>
      </c>
      <c r="C10" s="48" t="s">
        <v>216</v>
      </c>
    </row>
    <row r="11" spans="1:6">
      <c r="B11" t="s">
        <v>163</v>
      </c>
      <c r="C11" s="49">
        <f>C3/$C$9</f>
        <v>0.29090141465896652</v>
      </c>
      <c r="D11" s="43"/>
    </row>
    <row r="12" spans="1:6">
      <c r="B12" t="s">
        <v>165</v>
      </c>
      <c r="C12" s="49">
        <f>C4/$C$9</f>
        <v>0.2635266906037243</v>
      </c>
      <c r="D12" s="43"/>
    </row>
    <row r="13" spans="1:6">
      <c r="B13" t="s">
        <v>164</v>
      </c>
      <c r="C13" s="49">
        <f>C5/$C$9</f>
        <v>0.23450458400976634</v>
      </c>
    </row>
    <row r="14" spans="1:6">
      <c r="B14" t="s">
        <v>211</v>
      </c>
      <c r="C14" s="49">
        <f>C6/$C$9</f>
        <v>0</v>
      </c>
    </row>
    <row r="15" spans="1:6">
      <c r="B15" t="s">
        <v>166</v>
      </c>
      <c r="C15" s="49">
        <f>C7/$C$9</f>
        <v>0.21106731072754292</v>
      </c>
    </row>
    <row r="16" spans="1:6">
      <c r="B16" t="s">
        <v>213</v>
      </c>
      <c r="C16" s="49">
        <f>C8/$C$9</f>
        <v>0.17568446040248287</v>
      </c>
    </row>
    <row r="18" spans="2:9">
      <c r="B18" t="s">
        <v>164</v>
      </c>
    </row>
    <row r="19" spans="2:9" ht="15">
      <c r="B19" t="s">
        <v>217</v>
      </c>
      <c r="C19" s="62">
        <v>44562</v>
      </c>
    </row>
    <row r="20" spans="2:9" ht="15">
      <c r="B20" s="53" t="s">
        <v>218</v>
      </c>
      <c r="C20" s="53" t="s">
        <v>219</v>
      </c>
      <c r="D20" s="53" t="s">
        <v>220</v>
      </c>
      <c r="E20" s="53" t="s">
        <v>221</v>
      </c>
      <c r="F20" s="53" t="s">
        <v>222</v>
      </c>
      <c r="G20" s="53" t="s">
        <v>223</v>
      </c>
      <c r="H20" s="53" t="s">
        <v>224</v>
      </c>
      <c r="I20" s="53" t="s">
        <v>225</v>
      </c>
    </row>
    <row r="21" spans="2:9">
      <c r="B21" t="s">
        <v>192</v>
      </c>
      <c r="C21">
        <v>10</v>
      </c>
      <c r="D21" s="55">
        <v>33</v>
      </c>
      <c r="E21" s="55">
        <f>D21*C21</f>
        <v>330</v>
      </c>
      <c r="F21">
        <v>1</v>
      </c>
      <c r="H21">
        <f>C21*G21</f>
        <v>0</v>
      </c>
    </row>
    <row r="22" spans="2:9">
      <c r="B22" t="s">
        <v>182</v>
      </c>
      <c r="C22">
        <v>36</v>
      </c>
      <c r="D22" s="55">
        <v>168.88</v>
      </c>
      <c r="E22" s="55">
        <f t="shared" ref="E22:E29" si="0">D22*C22</f>
        <v>6079.68</v>
      </c>
      <c r="F22">
        <v>1</v>
      </c>
    </row>
    <row r="23" spans="2:9">
      <c r="B23" t="s">
        <v>191</v>
      </c>
      <c r="C23">
        <v>1</v>
      </c>
      <c r="D23" s="55">
        <v>2622</v>
      </c>
      <c r="E23" s="55">
        <f t="shared" si="0"/>
        <v>2622</v>
      </c>
      <c r="F23">
        <v>1</v>
      </c>
    </row>
    <row r="24" spans="2:9">
      <c r="B24" t="s">
        <v>185</v>
      </c>
      <c r="C24">
        <v>20</v>
      </c>
      <c r="D24" s="55">
        <v>13.94</v>
      </c>
      <c r="E24" s="55">
        <f t="shared" si="0"/>
        <v>278.8</v>
      </c>
      <c r="F24">
        <v>1</v>
      </c>
    </row>
    <row r="25" spans="2:9">
      <c r="B25" t="s">
        <v>226</v>
      </c>
      <c r="C25">
        <v>10</v>
      </c>
      <c r="D25" s="55">
        <v>138.82</v>
      </c>
      <c r="E25" s="55">
        <f t="shared" si="0"/>
        <v>1388.1999999999998</v>
      </c>
      <c r="F25">
        <v>1</v>
      </c>
    </row>
    <row r="26" spans="2:9">
      <c r="B26" t="s">
        <v>227</v>
      </c>
      <c r="C26">
        <v>1</v>
      </c>
      <c r="D26" s="55">
        <v>42</v>
      </c>
      <c r="E26" s="55">
        <f t="shared" si="0"/>
        <v>42</v>
      </c>
      <c r="F26">
        <v>1</v>
      </c>
    </row>
    <row r="27" spans="2:9">
      <c r="B27" t="s">
        <v>228</v>
      </c>
      <c r="C27">
        <v>50</v>
      </c>
      <c r="D27" s="55">
        <v>46.99</v>
      </c>
      <c r="E27" s="55">
        <f t="shared" si="0"/>
        <v>2349.5</v>
      </c>
      <c r="F27">
        <v>1</v>
      </c>
    </row>
    <row r="28" spans="2:9">
      <c r="B28" t="s">
        <v>189</v>
      </c>
      <c r="C28">
        <v>10</v>
      </c>
      <c r="D28" s="55">
        <v>52.09</v>
      </c>
      <c r="E28" s="55">
        <f t="shared" si="0"/>
        <v>520.90000000000009</v>
      </c>
      <c r="F28">
        <v>1</v>
      </c>
    </row>
    <row r="29" spans="2:9">
      <c r="B29" t="s">
        <v>229</v>
      </c>
      <c r="C29">
        <v>7</v>
      </c>
      <c r="D29" s="55">
        <v>1869.29</v>
      </c>
      <c r="E29" s="55">
        <f t="shared" si="0"/>
        <v>13085.029999999999</v>
      </c>
      <c r="F29">
        <v>1</v>
      </c>
    </row>
    <row r="30" spans="2:9">
      <c r="D30" s="55"/>
      <c r="E30" s="55"/>
    </row>
    <row r="31" spans="2:9">
      <c r="B31" t="s">
        <v>230</v>
      </c>
      <c r="E31" s="55">
        <f>SUM(E21:E29)</f>
        <v>26696.11</v>
      </c>
    </row>
    <row r="32" spans="2:9" ht="15">
      <c r="B32" s="53" t="s">
        <v>231</v>
      </c>
    </row>
    <row r="33" spans="2:3">
      <c r="B33" t="s">
        <v>217</v>
      </c>
      <c r="C33" s="29">
        <v>44562</v>
      </c>
    </row>
    <row r="34" spans="2:3" ht="15">
      <c r="B34" s="53" t="s">
        <v>213</v>
      </c>
    </row>
    <row r="35" spans="2:3">
      <c r="B35" t="s">
        <v>217</v>
      </c>
      <c r="C35" s="29">
        <v>44562</v>
      </c>
    </row>
  </sheetData>
  <pageMargins left="0.7" right="0.7" top="0.75" bottom="0.75" header="0.3" footer="0.3"/>
</worksheet>
</file>

<file path=customUI/_rels/customUI.xml.rels><?xml version="1.0" encoding="UTF-8" standalone="yes"?>
<Relationships xmlns="http://schemas.openxmlformats.org/package/2006/relationships"><Relationship Id="vertex42_logo" Type="http://schemas.openxmlformats.org/officeDocument/2006/relationships/image" Target="images/vertex42_logo0.png"/></Relationships>
</file>

<file path=customUI/_rels/customUI14.xml.rels><?xml version="1.0" encoding="UTF-8" standalone="yes"?>
<Relationships xmlns="http://schemas.openxmlformats.org/package/2006/relationships"><Relationship Id="vertex42_logo" Type="http://schemas.openxmlformats.org/officeDocument/2006/relationships/image" Target="images/vertex42_logo.png"/><Relationship Id="personal-monthly-budget_180" Type="http://schemas.openxmlformats.org/officeDocument/2006/relationships/image" Target="images/personal-monthly-budget_180.png"/></Relationships>
</file>

<file path=customUI/customUI.xml><?xml version="1.0" encoding="utf-8"?>
<!-- File created by www.vertex42.com (c) Vertex42 LLC. All rights reserved. -->
<customUI xmlns="http://schemas.microsoft.com/office/2006/01/customui">
</customUI>
</file>

<file path=customUI/customUI14.xml><?xml version="1.0" encoding="utf-8"?>
<!-- File created by www.vertex42.com (c) Vertex42 LLC -->
<customUI xmlns="http://schemas.microsoft.com/office/2009/07/customui" loadImage="LoadImageFromThisWorkbook">
  <backstage>
    <tab id="a1" label="About Vertex42" columnWidthPercent="40">
      <firstColumn>
        <group id="g_topLogo">
          <topItems>
            <layoutContainer id="c_topLogo">
              <hyperlink id="link_image" label="Click here to visit Vertex42.com" target="http://www.vertex42.com/?ref=bsimg" image="vertex42_logo" screentip="Visit Vertex42.com"/>
            </layoutContainer>
          </topItems>
        </group>
        <group id="g_about" label="About Vertex42" helperText="Vertex42.com provides professionally designed spreadsheet and document templates for business, education and home use.">
          <topItems>
            <hyperlink id="link_about" label="Click here to visit Vertex42.com" target="http://www.vertex42.com/?ref=bsxml"/>
            <labelControl id="spacer_below_link" label=" "/>
          </topItems>
        </group>
        <group id="g_resources" label="More Templates by Vertex42.com">
          <topItems>
            <layoutContainer id="resources_1" layoutChildren="vertical">
              <hyperlink id="link_resource_1" label="Templates for Excel" target="http://www.vertex42.com/ExcelTemplates/?ref=bsres"/>
              <hyperlink id="link_resource_2" label="Templates for Word" target="http://www.vertex42.com/WordTemplates/?ref=bsres"/>
              <hyperlink id="link_resource_3" label="Calendar Templates" target="http://www.vertex42.com/calendars/?ref=bsres"/>
              <hyperlink id="link_resource_4" label="Financial Calculators" target="http://www.vertex42.com/Calculators/?ref=bsres"/>
              <hyperlink id="link_resource_5" label="Template Gallery Add-in" target="http://www.vertex42.com/apps/?ref=bsres"/>
            </layoutContainer>
          </topItems>
        </group>
      </firstColumn>
      <secondColumn>
        <group id="g_description" label="Personal Monthly Budget" helperText="A monthly budget worksheet with categories for an individual person.">
          <topItems>
            <labelControl id="spacer1" label=" "/>
            <imageControl id="template_thumbnail" image="personal-monthly-budget_180"/>
            <labelControl id="spacer_below_image" label=" "/>
          </topItems>
        </group>
        <group id="g_terms" label="Template Details">
          <topItems>
            <layoutContainer id="info_author" layoutChildren="horizontal">
              <labelControl id="lab_author" label="Author:" alignLabel="left"/>
              <labelControl id="lab_author_value" label="Vertex42.com" alignLabel="left"/>
            </layoutContainer>
            <layoutContainer id="info_copyright" layoutChildren="horizontal">
              <labelControl id="lab_copyright" label="Copyright:"/>
              <labelControl id="lab_copyright_value" label="© 2014 Vertex42 LLC"/>
            </layoutContainer>
            <layoutContainer id="info_info" layoutChildren="vertical">
              <hyperlink id="link_info" label="Template Info Page" target="http://www.vertex42.com/ExcelTemplates/personal-monthly-budget.html?ref=bsinfo"/>
            </layoutContainer>
            <labelControl id="spacer_below_details" label=" "/>
          </topItems>
        </group>
        <group id="g_details" label="Terms of Use" helperText="This spreadsheet, including all worksheets and associated content, is considered a copyrighted work. Please review the license agreement on the template info page to learn how you may or may not use this template.">
</group>
      </secondColumn>
    </tab>
  </backstage>
</customUI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<?xml version="1.0" encoding="utf-8"?>
<scriptIds xmlns="http://schemas.microsoft.com/office/extensibility/maker/v1.0" id="script-ids-node-id">
  <scriptId id="ms-officescript%3A%2F%2Fonedrive_business_itemlink%2F01G4J43NSEB57QTQFG4JDZAWKKYV7GYVGH:ms-officescript%3A%2F%2Fonedrive_business_sharinglink%2Fu!aHR0cHM6Ly9maW5hbWV4LW15LnNoYXJlcG9pbnQuY29tLzp1Oi9nL3BlcnNvbmFsL2Z2ZmVudGFuZXNfZmluYW1leF9jb21fbXgvRVVRUGZ3bkFwdUpIa0ZsS3hYNXNWTWNCY1d3Zktyd0U5SzRiQ2Rxb0txcFF6UQ"/>
  <scriptId xmlns="" id="ms-officescript%3A%2F%2Fonedrive_business_itemlink%2F01G4J43NTFXMOER6UCHVDKB3IL7YBFFX74:ms-officescript%3A%2F%2Fonedrive_business_sharinglink%2Fu!aHR0cHM6Ly9maW5hbWV4LW15LnNoYXJlcG9pbnQuY29tLzp1Oi9nL3BlcnNvbmFsL2Z2ZmVudGFuZXNfZmluYW1leF9jb21fbXgvRVdXN0hFajZnajFHb08wTF9nSlMzX3dCSjl3Q3A1RW1GdFpCaXpOVGExcUtTUQ"/>
</scriptIds>
</file>

<file path=customXml/itemProps1.xml><?xml version="1.0" encoding="utf-8"?>
<ds:datastoreItem xmlns:ds="http://schemas.openxmlformats.org/officeDocument/2006/customXml" ds:itemID="{0AFE89E3-CDE5-4F46-B5E3-B6405F4118D8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 Online</Application>
  <Manager/>
  <Company>Vertex42 LLC</Company>
  <HyperlinkBase/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Personal Monthly Budget</dc:title>
  <dc:subject/>
  <dc:creator>Vertex42.com</dc:creator>
  <cp:keywords/>
  <dc:description>(c) 2008-2019 Vertex42 LLC. All Rights Reserved.</dc:description>
  <cp:lastModifiedBy>Francisco Javier Vargas Fentanes</cp:lastModifiedBy>
  <cp:revision/>
  <dcterms:created xsi:type="dcterms:W3CDTF">2007-10-28T01:07:07Z</dcterms:created>
  <dcterms:modified xsi:type="dcterms:W3CDTF">2024-10-20T23:58:53Z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pyright">
    <vt:lpwstr>2008-2019 Vertex42 LLC</vt:lpwstr>
  </property>
  <property fmtid="{D5CDD505-2E9C-101B-9397-08002B2CF9AE}" pid="3" name="Source">
    <vt:lpwstr>https://www.vertex42.com/ExcelTemplates/personal-monthly-budget.html</vt:lpwstr>
  </property>
  <property fmtid="{D5CDD505-2E9C-101B-9397-08002B2CF9AE}" pid="4" name="Version">
    <vt:lpwstr>1.1.4</vt:lpwstr>
  </property>
</Properties>
</file>